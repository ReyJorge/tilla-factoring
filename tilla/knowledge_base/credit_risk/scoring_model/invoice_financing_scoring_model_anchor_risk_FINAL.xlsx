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iritillman/Library/CloudStorage/GoogleDrive-tillman@aktivni-vinne-sklepy.cz/Můj disk/PUYCHILL/RISK_MANAGEMENT/"/>
    </mc:Choice>
  </mc:AlternateContent>
  <xr:revisionPtr revIDLastSave="0" documentId="13_ncr:1_{F1F62415-1B61-9243-9BE4-5E63691C806A}" xr6:coauthVersionLast="47" xr6:coauthVersionMax="47" xr10:uidLastSave="{00000000-0000-0000-0000-000000000000}"/>
  <bookViews>
    <workbookView xWindow="2460" yWindow="600" windowWidth="21940" windowHeight="14180" xr2:uid="{00000000-000D-0000-FFFF-FFFF00000000}"/>
  </bookViews>
  <sheets>
    <sheet name="Přehled" sheetId="7" r:id="rId1"/>
    <sheet name="Schvaleni" sheetId="2" r:id="rId2"/>
    <sheet name="Scoring" sheetId="5" r:id="rId3"/>
    <sheet name="Parametry" sheetId="6" r:id="rId4"/>
    <sheet name="Ciselniky" sheetId="3" r:id="rId5"/>
    <sheet name="Historie" sheetId="4" r:id="rId6"/>
    <sheet name="Návod" sheetId="1" r:id="rId7"/>
  </sheets>
  <definedNames>
    <definedName name="ciselnik_anchor">Ciselniky!$A$2:$A$100</definedName>
    <definedName name="ciselnik_dodavatel">Ciselniky!$B$2:$B$100</definedName>
    <definedName name="ciselnik_stav">Ciselniky!$D$2:$D$10</definedName>
    <definedName name="portfolio_stage">Parametry!$B$27</definedName>
    <definedName name="portfolio_total">Parametry!$B$28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" i="2" l="1"/>
  <c r="B23" i="7"/>
  <c r="B22" i="7"/>
  <c r="B6" i="7"/>
  <c r="B4" i="7"/>
  <c r="B3" i="7"/>
  <c r="B36" i="6"/>
  <c r="B35" i="6"/>
  <c r="B34" i="6"/>
  <c r="B28" i="6"/>
  <c r="AG44" i="5" s="1"/>
  <c r="F2000" i="4"/>
  <c r="G2000" i="4" s="1"/>
  <c r="F1999" i="4"/>
  <c r="G1999" i="4" s="1"/>
  <c r="F1998" i="4"/>
  <c r="G1998" i="4" s="1"/>
  <c r="F1997" i="4"/>
  <c r="G1997" i="4" s="1"/>
  <c r="G1996" i="4"/>
  <c r="F1996" i="4"/>
  <c r="F1995" i="4"/>
  <c r="G1995" i="4" s="1"/>
  <c r="F1994" i="4"/>
  <c r="G1994" i="4" s="1"/>
  <c r="F1993" i="4"/>
  <c r="G1993" i="4" s="1"/>
  <c r="F1992" i="4"/>
  <c r="G1992" i="4" s="1"/>
  <c r="F1991" i="4"/>
  <c r="G1991" i="4" s="1"/>
  <c r="F1990" i="4"/>
  <c r="G1990" i="4" s="1"/>
  <c r="F1989" i="4"/>
  <c r="G1989" i="4" s="1"/>
  <c r="G1988" i="4"/>
  <c r="F1988" i="4"/>
  <c r="F1987" i="4"/>
  <c r="G1987" i="4" s="1"/>
  <c r="F1986" i="4"/>
  <c r="G1986" i="4" s="1"/>
  <c r="G1985" i="4"/>
  <c r="F1985" i="4"/>
  <c r="F1984" i="4"/>
  <c r="G1984" i="4" s="1"/>
  <c r="F1983" i="4"/>
  <c r="G1983" i="4" s="1"/>
  <c r="F1982" i="4"/>
  <c r="G1982" i="4" s="1"/>
  <c r="F1981" i="4"/>
  <c r="G1981" i="4" s="1"/>
  <c r="G1980" i="4"/>
  <c r="F1980" i="4"/>
  <c r="F1979" i="4"/>
  <c r="G1979" i="4" s="1"/>
  <c r="G1978" i="4"/>
  <c r="F1978" i="4"/>
  <c r="F1977" i="4"/>
  <c r="G1977" i="4" s="1"/>
  <c r="F1976" i="4"/>
  <c r="G1976" i="4" s="1"/>
  <c r="F1975" i="4"/>
  <c r="G1975" i="4" s="1"/>
  <c r="F1974" i="4"/>
  <c r="G1974" i="4" s="1"/>
  <c r="F1973" i="4"/>
  <c r="G1973" i="4" s="1"/>
  <c r="F1972" i="4"/>
  <c r="G1972" i="4" s="1"/>
  <c r="F1971" i="4"/>
  <c r="G1971" i="4" s="1"/>
  <c r="F1970" i="4"/>
  <c r="G1970" i="4" s="1"/>
  <c r="G1969" i="4"/>
  <c r="F1969" i="4"/>
  <c r="F1968" i="4"/>
  <c r="G1968" i="4" s="1"/>
  <c r="F1967" i="4"/>
  <c r="G1967" i="4" s="1"/>
  <c r="F1966" i="4"/>
  <c r="G1966" i="4" s="1"/>
  <c r="F1965" i="4"/>
  <c r="G1965" i="4" s="1"/>
  <c r="G1964" i="4"/>
  <c r="F1964" i="4"/>
  <c r="F1963" i="4"/>
  <c r="G1963" i="4" s="1"/>
  <c r="F1962" i="4"/>
  <c r="G1962" i="4" s="1"/>
  <c r="F1961" i="4"/>
  <c r="G1961" i="4" s="1"/>
  <c r="F1960" i="4"/>
  <c r="G1960" i="4" s="1"/>
  <c r="G1959" i="4"/>
  <c r="F1959" i="4"/>
  <c r="F1958" i="4"/>
  <c r="G1958" i="4" s="1"/>
  <c r="F1957" i="4"/>
  <c r="G1957" i="4" s="1"/>
  <c r="F1956" i="4"/>
  <c r="G1956" i="4" s="1"/>
  <c r="F1955" i="4"/>
  <c r="G1955" i="4" s="1"/>
  <c r="F1954" i="4"/>
  <c r="G1954" i="4" s="1"/>
  <c r="G1953" i="4"/>
  <c r="F1953" i="4"/>
  <c r="F1952" i="4"/>
  <c r="G1952" i="4" s="1"/>
  <c r="F1951" i="4"/>
  <c r="G1951" i="4" s="1"/>
  <c r="F1950" i="4"/>
  <c r="G1950" i="4" s="1"/>
  <c r="F1949" i="4"/>
  <c r="G1949" i="4" s="1"/>
  <c r="G1948" i="4"/>
  <c r="F1948" i="4"/>
  <c r="F1947" i="4"/>
  <c r="G1947" i="4" s="1"/>
  <c r="F1946" i="4"/>
  <c r="G1946" i="4" s="1"/>
  <c r="F1945" i="4"/>
  <c r="G1945" i="4" s="1"/>
  <c r="F1944" i="4"/>
  <c r="G1944" i="4" s="1"/>
  <c r="F1943" i="4"/>
  <c r="G1943" i="4" s="1"/>
  <c r="F1942" i="4"/>
  <c r="G1942" i="4" s="1"/>
  <c r="F1941" i="4"/>
  <c r="G1941" i="4" s="1"/>
  <c r="G1940" i="4"/>
  <c r="F1940" i="4"/>
  <c r="F1939" i="4"/>
  <c r="G1939" i="4" s="1"/>
  <c r="F1938" i="4"/>
  <c r="G1938" i="4" s="1"/>
  <c r="G1937" i="4"/>
  <c r="F1937" i="4"/>
  <c r="F1936" i="4"/>
  <c r="G1936" i="4" s="1"/>
  <c r="F1935" i="4"/>
  <c r="G1935" i="4" s="1"/>
  <c r="F1934" i="4"/>
  <c r="G1934" i="4" s="1"/>
  <c r="F1933" i="4"/>
  <c r="G1933" i="4" s="1"/>
  <c r="G1932" i="4"/>
  <c r="F1932" i="4"/>
  <c r="F1931" i="4"/>
  <c r="G1931" i="4" s="1"/>
  <c r="G1930" i="4"/>
  <c r="F1930" i="4"/>
  <c r="G1929" i="4"/>
  <c r="F1929" i="4"/>
  <c r="G1928" i="4"/>
  <c r="F1928" i="4"/>
  <c r="F1927" i="4"/>
  <c r="G1927" i="4" s="1"/>
  <c r="F1926" i="4"/>
  <c r="G1926" i="4" s="1"/>
  <c r="F1925" i="4"/>
  <c r="G1925" i="4" s="1"/>
  <c r="F1924" i="4"/>
  <c r="G1924" i="4" s="1"/>
  <c r="F1923" i="4"/>
  <c r="G1923" i="4" s="1"/>
  <c r="F1922" i="4"/>
  <c r="G1922" i="4" s="1"/>
  <c r="G1921" i="4"/>
  <c r="F1921" i="4"/>
  <c r="F1920" i="4"/>
  <c r="G1920" i="4" s="1"/>
  <c r="F1919" i="4"/>
  <c r="G1919" i="4" s="1"/>
  <c r="F1918" i="4"/>
  <c r="G1918" i="4" s="1"/>
  <c r="F1917" i="4"/>
  <c r="G1917" i="4" s="1"/>
  <c r="G1916" i="4"/>
  <c r="F1916" i="4"/>
  <c r="F1915" i="4"/>
  <c r="G1915" i="4" s="1"/>
  <c r="F1914" i="4"/>
  <c r="G1914" i="4" s="1"/>
  <c r="F1913" i="4"/>
  <c r="G1913" i="4" s="1"/>
  <c r="F1912" i="4"/>
  <c r="G1912" i="4" s="1"/>
  <c r="G1911" i="4"/>
  <c r="F1911" i="4"/>
  <c r="G1910" i="4"/>
  <c r="F1910" i="4"/>
  <c r="G1909" i="4"/>
  <c r="F1909" i="4"/>
  <c r="F1908" i="4"/>
  <c r="G1908" i="4" s="1"/>
  <c r="F1907" i="4"/>
  <c r="G1907" i="4" s="1"/>
  <c r="F1906" i="4"/>
  <c r="G1906" i="4" s="1"/>
  <c r="G1905" i="4"/>
  <c r="F1905" i="4"/>
  <c r="F1904" i="4"/>
  <c r="G1904" i="4" s="1"/>
  <c r="F1903" i="4"/>
  <c r="G1903" i="4" s="1"/>
  <c r="F1902" i="4"/>
  <c r="G1902" i="4" s="1"/>
  <c r="F1901" i="4"/>
  <c r="G1901" i="4" s="1"/>
  <c r="G1900" i="4"/>
  <c r="F1900" i="4"/>
  <c r="F1899" i="4"/>
  <c r="G1899" i="4" s="1"/>
  <c r="F1898" i="4"/>
  <c r="G1898" i="4" s="1"/>
  <c r="F1897" i="4"/>
  <c r="G1897" i="4" s="1"/>
  <c r="F1896" i="4"/>
  <c r="G1896" i="4" s="1"/>
  <c r="F1895" i="4"/>
  <c r="G1895" i="4" s="1"/>
  <c r="F1894" i="4"/>
  <c r="G1894" i="4" s="1"/>
  <c r="F1893" i="4"/>
  <c r="G1893" i="4" s="1"/>
  <c r="G1892" i="4"/>
  <c r="F1892" i="4"/>
  <c r="G1891" i="4"/>
  <c r="F1891" i="4"/>
  <c r="F1890" i="4"/>
  <c r="G1890" i="4" s="1"/>
  <c r="G1889" i="4"/>
  <c r="F1889" i="4"/>
  <c r="F1888" i="4"/>
  <c r="G1888" i="4" s="1"/>
  <c r="F1887" i="4"/>
  <c r="G1887" i="4" s="1"/>
  <c r="F1886" i="4"/>
  <c r="G1886" i="4" s="1"/>
  <c r="F1885" i="4"/>
  <c r="G1885" i="4" s="1"/>
  <c r="G1884" i="4"/>
  <c r="F1884" i="4"/>
  <c r="F1883" i="4"/>
  <c r="G1883" i="4" s="1"/>
  <c r="F1882" i="4"/>
  <c r="G1882" i="4" s="1"/>
  <c r="F1881" i="4"/>
  <c r="G1881" i="4" s="1"/>
  <c r="G1880" i="4"/>
  <c r="F1880" i="4"/>
  <c r="F1879" i="4"/>
  <c r="G1879" i="4" s="1"/>
  <c r="F1878" i="4"/>
  <c r="G1878" i="4" s="1"/>
  <c r="F1877" i="4"/>
  <c r="G1877" i="4" s="1"/>
  <c r="F1876" i="4"/>
  <c r="G1876" i="4" s="1"/>
  <c r="F1875" i="4"/>
  <c r="G1875" i="4" s="1"/>
  <c r="F1874" i="4"/>
  <c r="G1874" i="4" s="1"/>
  <c r="G1873" i="4"/>
  <c r="F1873" i="4"/>
  <c r="F1872" i="4"/>
  <c r="G1872" i="4" s="1"/>
  <c r="F1871" i="4"/>
  <c r="G1871" i="4" s="1"/>
  <c r="F1870" i="4"/>
  <c r="G1870" i="4" s="1"/>
  <c r="F1869" i="4"/>
  <c r="G1869" i="4" s="1"/>
  <c r="G1868" i="4"/>
  <c r="F1868" i="4"/>
  <c r="F1867" i="4"/>
  <c r="G1867" i="4" s="1"/>
  <c r="F1866" i="4"/>
  <c r="G1866" i="4" s="1"/>
  <c r="G1865" i="4"/>
  <c r="F1865" i="4"/>
  <c r="F1864" i="4"/>
  <c r="G1864" i="4" s="1"/>
  <c r="F1863" i="4"/>
  <c r="G1863" i="4" s="1"/>
  <c r="F1862" i="4"/>
  <c r="G1862" i="4" s="1"/>
  <c r="G1861" i="4"/>
  <c r="F1861" i="4"/>
  <c r="F1860" i="4"/>
  <c r="G1860" i="4" s="1"/>
  <c r="F1859" i="4"/>
  <c r="G1859" i="4" s="1"/>
  <c r="F1858" i="4"/>
  <c r="G1858" i="4" s="1"/>
  <c r="G1857" i="4"/>
  <c r="F1857" i="4"/>
  <c r="F1856" i="4"/>
  <c r="G1856" i="4" s="1"/>
  <c r="F1855" i="4"/>
  <c r="G1855" i="4" s="1"/>
  <c r="F1854" i="4"/>
  <c r="G1854" i="4" s="1"/>
  <c r="F1853" i="4"/>
  <c r="G1853" i="4" s="1"/>
  <c r="G1852" i="4"/>
  <c r="F1852" i="4"/>
  <c r="F1851" i="4"/>
  <c r="G1851" i="4" s="1"/>
  <c r="G1850" i="4"/>
  <c r="F1850" i="4"/>
  <c r="G1849" i="4"/>
  <c r="F1849" i="4"/>
  <c r="F1848" i="4"/>
  <c r="G1848" i="4" s="1"/>
  <c r="F1847" i="4"/>
  <c r="G1847" i="4" s="1"/>
  <c r="G1846" i="4"/>
  <c r="F1846" i="4"/>
  <c r="F1845" i="4"/>
  <c r="G1845" i="4" s="1"/>
  <c r="F1844" i="4"/>
  <c r="G1844" i="4" s="1"/>
  <c r="F1843" i="4"/>
  <c r="G1843" i="4" s="1"/>
  <c r="F1842" i="4"/>
  <c r="G1842" i="4" s="1"/>
  <c r="G1841" i="4"/>
  <c r="F1841" i="4"/>
  <c r="F1840" i="4"/>
  <c r="G1840" i="4" s="1"/>
  <c r="F1839" i="4"/>
  <c r="G1839" i="4" s="1"/>
  <c r="F1838" i="4"/>
  <c r="G1838" i="4" s="1"/>
  <c r="F1837" i="4"/>
  <c r="G1837" i="4" s="1"/>
  <c r="G1836" i="4"/>
  <c r="F1836" i="4"/>
  <c r="F1835" i="4"/>
  <c r="G1835" i="4" s="1"/>
  <c r="F1834" i="4"/>
  <c r="G1834" i="4" s="1"/>
  <c r="F1833" i="4"/>
  <c r="G1833" i="4" s="1"/>
  <c r="G1832" i="4"/>
  <c r="F1832" i="4"/>
  <c r="G1831" i="4"/>
  <c r="F1831" i="4"/>
  <c r="G1830" i="4"/>
  <c r="F1830" i="4"/>
  <c r="F1829" i="4"/>
  <c r="G1829" i="4" s="1"/>
  <c r="F1828" i="4"/>
  <c r="G1828" i="4" s="1"/>
  <c r="G1827" i="4"/>
  <c r="F1827" i="4"/>
  <c r="F1826" i="4"/>
  <c r="G1826" i="4" s="1"/>
  <c r="G1825" i="4"/>
  <c r="F1825" i="4"/>
  <c r="F1824" i="4"/>
  <c r="G1824" i="4" s="1"/>
  <c r="F1823" i="4"/>
  <c r="G1823" i="4" s="1"/>
  <c r="F1822" i="4"/>
  <c r="G1822" i="4" s="1"/>
  <c r="F1821" i="4"/>
  <c r="G1821" i="4" s="1"/>
  <c r="F1820" i="4"/>
  <c r="G1820" i="4" s="1"/>
  <c r="F1819" i="4"/>
  <c r="G1819" i="4" s="1"/>
  <c r="F1818" i="4"/>
  <c r="G1818" i="4" s="1"/>
  <c r="F1817" i="4"/>
  <c r="G1817" i="4" s="1"/>
  <c r="F1816" i="4"/>
  <c r="G1816" i="4" s="1"/>
  <c r="F1815" i="4"/>
  <c r="G1815" i="4" s="1"/>
  <c r="F1814" i="4"/>
  <c r="G1814" i="4" s="1"/>
  <c r="G1813" i="4"/>
  <c r="F1813" i="4"/>
  <c r="G1812" i="4"/>
  <c r="F1812" i="4"/>
  <c r="G1811" i="4"/>
  <c r="F1811" i="4"/>
  <c r="F1810" i="4"/>
  <c r="G1810" i="4" s="1"/>
  <c r="G1809" i="4"/>
  <c r="F1809" i="4"/>
  <c r="F1808" i="4"/>
  <c r="G1808" i="4" s="1"/>
  <c r="F1807" i="4"/>
  <c r="G1807" i="4" s="1"/>
  <c r="F1806" i="4"/>
  <c r="G1806" i="4" s="1"/>
  <c r="F1805" i="4"/>
  <c r="G1805" i="4" s="1"/>
  <c r="G1804" i="4"/>
  <c r="F1804" i="4"/>
  <c r="F1803" i="4"/>
  <c r="G1803" i="4" s="1"/>
  <c r="F1802" i="4"/>
  <c r="G1802" i="4" s="1"/>
  <c r="G1801" i="4"/>
  <c r="F1801" i="4"/>
  <c r="F1800" i="4"/>
  <c r="G1800" i="4" s="1"/>
  <c r="F1799" i="4"/>
  <c r="G1799" i="4" s="1"/>
  <c r="F1798" i="4"/>
  <c r="G1798" i="4" s="1"/>
  <c r="F1797" i="4"/>
  <c r="G1797" i="4" s="1"/>
  <c r="F1796" i="4"/>
  <c r="G1796" i="4" s="1"/>
  <c r="F1795" i="4"/>
  <c r="G1795" i="4" s="1"/>
  <c r="F1794" i="4"/>
  <c r="G1794" i="4" s="1"/>
  <c r="G1793" i="4"/>
  <c r="F1793" i="4"/>
  <c r="F1792" i="4"/>
  <c r="G1792" i="4" s="1"/>
  <c r="F1791" i="4"/>
  <c r="G1791" i="4" s="1"/>
  <c r="F1790" i="4"/>
  <c r="G1790" i="4" s="1"/>
  <c r="F1789" i="4"/>
  <c r="G1789" i="4" s="1"/>
  <c r="G1788" i="4"/>
  <c r="F1788" i="4"/>
  <c r="F1787" i="4"/>
  <c r="G1787" i="4" s="1"/>
  <c r="G1786" i="4"/>
  <c r="F1786" i="4"/>
  <c r="F1785" i="4"/>
  <c r="G1785" i="4" s="1"/>
  <c r="F1784" i="4"/>
  <c r="G1784" i="4" s="1"/>
  <c r="F1783" i="4"/>
  <c r="G1783" i="4" s="1"/>
  <c r="G1782" i="4"/>
  <c r="F1782" i="4"/>
  <c r="F1781" i="4"/>
  <c r="G1781" i="4" s="1"/>
  <c r="F1780" i="4"/>
  <c r="G1780" i="4" s="1"/>
  <c r="F1779" i="4"/>
  <c r="G1779" i="4" s="1"/>
  <c r="F1778" i="4"/>
  <c r="G1778" i="4" s="1"/>
  <c r="G1777" i="4"/>
  <c r="F1777" i="4"/>
  <c r="F1776" i="4"/>
  <c r="G1776" i="4" s="1"/>
  <c r="F1775" i="4"/>
  <c r="G1775" i="4" s="1"/>
  <c r="F1774" i="4"/>
  <c r="G1774" i="4" s="1"/>
  <c r="F1773" i="4"/>
  <c r="G1773" i="4" s="1"/>
  <c r="F1772" i="4"/>
  <c r="G1772" i="4" s="1"/>
  <c r="F1771" i="4"/>
  <c r="G1771" i="4" s="1"/>
  <c r="G1770" i="4"/>
  <c r="F1770" i="4"/>
  <c r="F1769" i="4"/>
  <c r="G1769" i="4" s="1"/>
  <c r="F1768" i="4"/>
  <c r="G1768" i="4" s="1"/>
  <c r="G1767" i="4"/>
  <c r="F1767" i="4"/>
  <c r="F1766" i="4"/>
  <c r="G1766" i="4" s="1"/>
  <c r="F1765" i="4"/>
  <c r="G1765" i="4" s="1"/>
  <c r="F1764" i="4"/>
  <c r="G1764" i="4" s="1"/>
  <c r="G1763" i="4"/>
  <c r="F1763" i="4"/>
  <c r="F1762" i="4"/>
  <c r="G1762" i="4" s="1"/>
  <c r="G1761" i="4"/>
  <c r="F1761" i="4"/>
  <c r="F1760" i="4"/>
  <c r="G1760" i="4" s="1"/>
  <c r="F1759" i="4"/>
  <c r="G1759" i="4" s="1"/>
  <c r="F1758" i="4"/>
  <c r="G1758" i="4" s="1"/>
  <c r="F1757" i="4"/>
  <c r="G1757" i="4" s="1"/>
  <c r="G1756" i="4"/>
  <c r="F1756" i="4"/>
  <c r="F1755" i="4"/>
  <c r="G1755" i="4" s="1"/>
  <c r="F1754" i="4"/>
  <c r="G1754" i="4" s="1"/>
  <c r="G1753" i="4"/>
  <c r="F1753" i="4"/>
  <c r="G1752" i="4"/>
  <c r="F1752" i="4"/>
  <c r="G1751" i="4"/>
  <c r="F1751" i="4"/>
  <c r="F1750" i="4"/>
  <c r="G1750" i="4" s="1"/>
  <c r="F1749" i="4"/>
  <c r="G1749" i="4" s="1"/>
  <c r="G1748" i="4"/>
  <c r="F1748" i="4"/>
  <c r="F1747" i="4"/>
  <c r="G1747" i="4" s="1"/>
  <c r="F1746" i="4"/>
  <c r="G1746" i="4" s="1"/>
  <c r="G1745" i="4"/>
  <c r="F1745" i="4"/>
  <c r="F1744" i="4"/>
  <c r="G1744" i="4" s="1"/>
  <c r="F1743" i="4"/>
  <c r="G1743" i="4" s="1"/>
  <c r="F1742" i="4"/>
  <c r="G1742" i="4" s="1"/>
  <c r="F1741" i="4"/>
  <c r="G1741" i="4" s="1"/>
  <c r="F1740" i="4"/>
  <c r="G1740" i="4" s="1"/>
  <c r="F1739" i="4"/>
  <c r="G1739" i="4" s="1"/>
  <c r="F1738" i="4"/>
  <c r="G1738" i="4" s="1"/>
  <c r="F1737" i="4"/>
  <c r="G1737" i="4" s="1"/>
  <c r="F1736" i="4"/>
  <c r="G1736" i="4" s="1"/>
  <c r="F1735" i="4"/>
  <c r="G1735" i="4" s="1"/>
  <c r="G1734" i="4"/>
  <c r="F1734" i="4"/>
  <c r="G1733" i="4"/>
  <c r="F1733" i="4"/>
  <c r="G1732" i="4"/>
  <c r="F1732" i="4"/>
  <c r="F1731" i="4"/>
  <c r="G1731" i="4" s="1"/>
  <c r="F1730" i="4"/>
  <c r="G1730" i="4" s="1"/>
  <c r="G1729" i="4"/>
  <c r="F1729" i="4"/>
  <c r="F1728" i="4"/>
  <c r="G1728" i="4" s="1"/>
  <c r="F1727" i="4"/>
  <c r="G1727" i="4" s="1"/>
  <c r="F1726" i="4"/>
  <c r="G1726" i="4" s="1"/>
  <c r="F1725" i="4"/>
  <c r="G1725" i="4" s="1"/>
  <c r="F1724" i="4"/>
  <c r="G1724" i="4" s="1"/>
  <c r="F1723" i="4"/>
  <c r="G1723" i="4" s="1"/>
  <c r="G1722" i="4"/>
  <c r="F1722" i="4"/>
  <c r="F1721" i="4"/>
  <c r="G1721" i="4" s="1"/>
  <c r="F1720" i="4"/>
  <c r="G1720" i="4" s="1"/>
  <c r="F1719" i="4"/>
  <c r="G1719" i="4" s="1"/>
  <c r="F1718" i="4"/>
  <c r="G1718" i="4" s="1"/>
  <c r="F1717" i="4"/>
  <c r="G1717" i="4" s="1"/>
  <c r="F1716" i="4"/>
  <c r="G1716" i="4" s="1"/>
  <c r="G1715" i="4"/>
  <c r="F1715" i="4"/>
  <c r="F1714" i="4"/>
  <c r="G1714" i="4" s="1"/>
  <c r="G1713" i="4"/>
  <c r="F1713" i="4"/>
  <c r="F1712" i="4"/>
  <c r="G1712" i="4" s="1"/>
  <c r="F1711" i="4"/>
  <c r="G1711" i="4" s="1"/>
  <c r="F1710" i="4"/>
  <c r="G1710" i="4" s="1"/>
  <c r="F1709" i="4"/>
  <c r="G1709" i="4" s="1"/>
  <c r="G1708" i="4"/>
  <c r="F1708" i="4"/>
  <c r="F1707" i="4"/>
  <c r="G1707" i="4" s="1"/>
  <c r="F1706" i="4"/>
  <c r="G1706" i="4" s="1"/>
  <c r="F1705" i="4"/>
  <c r="G1705" i="4" s="1"/>
  <c r="F1704" i="4"/>
  <c r="G1704" i="4" s="1"/>
  <c r="G1703" i="4"/>
  <c r="F1703" i="4"/>
  <c r="F1702" i="4"/>
  <c r="G1702" i="4" s="1"/>
  <c r="F1701" i="4"/>
  <c r="G1701" i="4" s="1"/>
  <c r="F1700" i="4"/>
  <c r="G1700" i="4" s="1"/>
  <c r="F1699" i="4"/>
  <c r="G1699" i="4" s="1"/>
  <c r="F1698" i="4"/>
  <c r="G1698" i="4" s="1"/>
  <c r="G1697" i="4"/>
  <c r="F1697" i="4"/>
  <c r="F1696" i="4"/>
  <c r="G1696" i="4" s="1"/>
  <c r="F1695" i="4"/>
  <c r="G1695" i="4" s="1"/>
  <c r="F1694" i="4"/>
  <c r="G1694" i="4" s="1"/>
  <c r="F1693" i="4"/>
  <c r="G1693" i="4" s="1"/>
  <c r="G1692" i="4"/>
  <c r="F1692" i="4"/>
  <c r="F1691" i="4"/>
  <c r="G1691" i="4" s="1"/>
  <c r="F1690" i="4"/>
  <c r="G1690" i="4" s="1"/>
  <c r="F1689" i="4"/>
  <c r="G1689" i="4" s="1"/>
  <c r="G1688" i="4"/>
  <c r="F1688" i="4"/>
  <c r="F1687" i="4"/>
  <c r="G1687" i="4" s="1"/>
  <c r="F1686" i="4"/>
  <c r="G1686" i="4" s="1"/>
  <c r="F1685" i="4"/>
  <c r="G1685" i="4" s="1"/>
  <c r="G1684" i="4"/>
  <c r="F1684" i="4"/>
  <c r="F1683" i="4"/>
  <c r="G1683" i="4" s="1"/>
  <c r="F1682" i="4"/>
  <c r="G1682" i="4" s="1"/>
  <c r="G1681" i="4"/>
  <c r="F1681" i="4"/>
  <c r="F1680" i="4"/>
  <c r="G1680" i="4" s="1"/>
  <c r="F1679" i="4"/>
  <c r="G1679" i="4" s="1"/>
  <c r="F1678" i="4"/>
  <c r="G1678" i="4" s="1"/>
  <c r="F1677" i="4"/>
  <c r="G1677" i="4" s="1"/>
  <c r="G1676" i="4"/>
  <c r="F1676" i="4"/>
  <c r="F1675" i="4"/>
  <c r="G1675" i="4" s="1"/>
  <c r="F1674" i="4"/>
  <c r="G1674" i="4" s="1"/>
  <c r="G1673" i="4"/>
  <c r="F1673" i="4"/>
  <c r="G1672" i="4"/>
  <c r="F1672" i="4"/>
  <c r="G1671" i="4"/>
  <c r="F1671" i="4"/>
  <c r="G1670" i="4"/>
  <c r="F1670" i="4"/>
  <c r="F1669" i="4"/>
  <c r="G1669" i="4" s="1"/>
  <c r="G1668" i="4"/>
  <c r="F1668" i="4"/>
  <c r="F1667" i="4"/>
  <c r="G1667" i="4" s="1"/>
  <c r="F1666" i="4"/>
  <c r="G1666" i="4" s="1"/>
  <c r="G1665" i="4"/>
  <c r="F1665" i="4"/>
  <c r="F1664" i="4"/>
  <c r="G1664" i="4" s="1"/>
  <c r="F1663" i="4"/>
  <c r="G1663" i="4" s="1"/>
  <c r="F1662" i="4"/>
  <c r="G1662" i="4" s="1"/>
  <c r="F1661" i="4"/>
  <c r="G1661" i="4" s="1"/>
  <c r="F1660" i="4"/>
  <c r="G1660" i="4" s="1"/>
  <c r="F1659" i="4"/>
  <c r="G1659" i="4" s="1"/>
  <c r="F1658" i="4"/>
  <c r="G1658" i="4" s="1"/>
  <c r="F1657" i="4"/>
  <c r="G1657" i="4" s="1"/>
  <c r="G1656" i="4"/>
  <c r="F1656" i="4"/>
  <c r="G1655" i="4"/>
  <c r="F1655" i="4"/>
  <c r="G1654" i="4"/>
  <c r="F1654" i="4"/>
  <c r="F1653" i="4"/>
  <c r="G1653" i="4" s="1"/>
  <c r="F1652" i="4"/>
  <c r="G1652" i="4" s="1"/>
  <c r="G1651" i="4"/>
  <c r="F1651" i="4"/>
  <c r="F1650" i="4"/>
  <c r="G1650" i="4" s="1"/>
  <c r="G1649" i="4"/>
  <c r="F1649" i="4"/>
  <c r="F1648" i="4"/>
  <c r="G1648" i="4" s="1"/>
  <c r="F1647" i="4"/>
  <c r="G1647" i="4" s="1"/>
  <c r="F1646" i="4"/>
  <c r="G1646" i="4" s="1"/>
  <c r="F1645" i="4"/>
  <c r="G1645" i="4" s="1"/>
  <c r="F1644" i="4"/>
  <c r="G1644" i="4" s="1"/>
  <c r="F1643" i="4"/>
  <c r="G1643" i="4" s="1"/>
  <c r="F1642" i="4"/>
  <c r="G1642" i="4" s="1"/>
  <c r="G1641" i="4"/>
  <c r="F1641" i="4"/>
  <c r="G1640" i="4"/>
  <c r="F1640" i="4"/>
  <c r="G1639" i="4"/>
  <c r="F1639" i="4"/>
  <c r="F1638" i="4"/>
  <c r="G1638" i="4" s="1"/>
  <c r="F1637" i="4"/>
  <c r="G1637" i="4" s="1"/>
  <c r="G1636" i="4"/>
  <c r="F1636" i="4"/>
  <c r="G1635" i="4"/>
  <c r="F1635" i="4"/>
  <c r="F1634" i="4"/>
  <c r="G1634" i="4" s="1"/>
  <c r="G1633" i="4"/>
  <c r="F1633" i="4"/>
  <c r="F1632" i="4"/>
  <c r="G1632" i="4" s="1"/>
  <c r="F1631" i="4"/>
  <c r="G1631" i="4" s="1"/>
  <c r="F1630" i="4"/>
  <c r="G1630" i="4" s="1"/>
  <c r="F1629" i="4"/>
  <c r="G1629" i="4" s="1"/>
  <c r="F1628" i="4"/>
  <c r="G1628" i="4" s="1"/>
  <c r="F1627" i="4"/>
  <c r="G1627" i="4" s="1"/>
  <c r="G1626" i="4"/>
  <c r="F1626" i="4"/>
  <c r="F1625" i="4"/>
  <c r="G1625" i="4" s="1"/>
  <c r="F1624" i="4"/>
  <c r="G1624" i="4" s="1"/>
  <c r="F1623" i="4"/>
  <c r="G1623" i="4" s="1"/>
  <c r="F1622" i="4"/>
  <c r="G1622" i="4" s="1"/>
  <c r="F1621" i="4"/>
  <c r="G1621" i="4" s="1"/>
  <c r="F1620" i="4"/>
  <c r="G1620" i="4" s="1"/>
  <c r="G1619" i="4"/>
  <c r="F1619" i="4"/>
  <c r="F1618" i="4"/>
  <c r="G1618" i="4" s="1"/>
  <c r="G1617" i="4"/>
  <c r="F1617" i="4"/>
  <c r="F1616" i="4"/>
  <c r="G1616" i="4" s="1"/>
  <c r="F1615" i="4"/>
  <c r="G1615" i="4" s="1"/>
  <c r="F1614" i="4"/>
  <c r="G1614" i="4" s="1"/>
  <c r="F1613" i="4"/>
  <c r="G1613" i="4" s="1"/>
  <c r="G1612" i="4"/>
  <c r="F1612" i="4"/>
  <c r="F1611" i="4"/>
  <c r="G1611" i="4" s="1"/>
  <c r="G1610" i="4"/>
  <c r="F1610" i="4"/>
  <c r="F1609" i="4"/>
  <c r="G1609" i="4" s="1"/>
  <c r="G1608" i="4"/>
  <c r="F1608" i="4"/>
  <c r="F1607" i="4"/>
  <c r="G1607" i="4" s="1"/>
  <c r="F1606" i="4"/>
  <c r="G1606" i="4" s="1"/>
  <c r="F1605" i="4"/>
  <c r="G1605" i="4" s="1"/>
  <c r="G1604" i="4"/>
  <c r="F1604" i="4"/>
  <c r="G1603" i="4"/>
  <c r="F1603" i="4"/>
  <c r="F1602" i="4"/>
  <c r="G1602" i="4" s="1"/>
  <c r="G1601" i="4"/>
  <c r="F1601" i="4"/>
  <c r="F1600" i="4"/>
  <c r="G1600" i="4" s="1"/>
  <c r="F1599" i="4"/>
  <c r="G1599" i="4" s="1"/>
  <c r="F1598" i="4"/>
  <c r="G1598" i="4" s="1"/>
  <c r="F1597" i="4"/>
  <c r="G1597" i="4" s="1"/>
  <c r="G1596" i="4"/>
  <c r="F1596" i="4"/>
  <c r="F1595" i="4"/>
  <c r="G1595" i="4" s="1"/>
  <c r="F1594" i="4"/>
  <c r="G1594" i="4" s="1"/>
  <c r="G1593" i="4"/>
  <c r="F1593" i="4"/>
  <c r="F1592" i="4"/>
  <c r="G1592" i="4" s="1"/>
  <c r="F1591" i="4"/>
  <c r="G1591" i="4" s="1"/>
  <c r="F1590" i="4"/>
  <c r="G1590" i="4" s="1"/>
  <c r="G1589" i="4"/>
  <c r="F1589" i="4"/>
  <c r="F1588" i="4"/>
  <c r="G1588" i="4" s="1"/>
  <c r="F1587" i="4"/>
  <c r="G1587" i="4" s="1"/>
  <c r="F1586" i="4"/>
  <c r="G1586" i="4" s="1"/>
  <c r="G1585" i="4"/>
  <c r="F1585" i="4"/>
  <c r="F1584" i="4"/>
  <c r="G1584" i="4" s="1"/>
  <c r="F1583" i="4"/>
  <c r="G1583" i="4" s="1"/>
  <c r="F1582" i="4"/>
  <c r="G1582" i="4" s="1"/>
  <c r="F1581" i="4"/>
  <c r="G1581" i="4" s="1"/>
  <c r="F1580" i="4"/>
  <c r="G1580" i="4" s="1"/>
  <c r="F1579" i="4"/>
  <c r="G1579" i="4" s="1"/>
  <c r="F1578" i="4"/>
  <c r="G1578" i="4" s="1"/>
  <c r="G1577" i="4"/>
  <c r="F1577" i="4"/>
  <c r="G1576" i="4"/>
  <c r="F1576" i="4"/>
  <c r="G1575" i="4"/>
  <c r="F1575" i="4"/>
  <c r="F1574" i="4"/>
  <c r="G1574" i="4" s="1"/>
  <c r="G1573" i="4"/>
  <c r="F1573" i="4"/>
  <c r="F1572" i="4"/>
  <c r="G1572" i="4" s="1"/>
  <c r="G1571" i="4"/>
  <c r="F1571" i="4"/>
  <c r="F1570" i="4"/>
  <c r="G1570" i="4" s="1"/>
  <c r="G1569" i="4"/>
  <c r="F1569" i="4"/>
  <c r="F1568" i="4"/>
  <c r="G1568" i="4" s="1"/>
  <c r="F1567" i="4"/>
  <c r="G1567" i="4" s="1"/>
  <c r="F1566" i="4"/>
  <c r="G1566" i="4" s="1"/>
  <c r="F1565" i="4"/>
  <c r="G1565" i="4" s="1"/>
  <c r="F1564" i="4"/>
  <c r="G1564" i="4" s="1"/>
  <c r="F1563" i="4"/>
  <c r="G1563" i="4" s="1"/>
  <c r="F1562" i="4"/>
  <c r="G1562" i="4" s="1"/>
  <c r="G1561" i="4"/>
  <c r="F1561" i="4"/>
  <c r="G1560" i="4"/>
  <c r="F1560" i="4"/>
  <c r="G1559" i="4"/>
  <c r="F1559" i="4"/>
  <c r="F1558" i="4"/>
  <c r="G1558" i="4" s="1"/>
  <c r="F1557" i="4"/>
  <c r="G1557" i="4" s="1"/>
  <c r="G1556" i="4"/>
  <c r="F1556" i="4"/>
  <c r="F1555" i="4"/>
  <c r="G1555" i="4" s="1"/>
  <c r="F1554" i="4"/>
  <c r="G1554" i="4" s="1"/>
  <c r="G1553" i="4"/>
  <c r="F1553" i="4"/>
  <c r="F1552" i="4"/>
  <c r="G1552" i="4" s="1"/>
  <c r="F1551" i="4"/>
  <c r="G1551" i="4" s="1"/>
  <c r="F1550" i="4"/>
  <c r="G1550" i="4" s="1"/>
  <c r="F1549" i="4"/>
  <c r="G1549" i="4" s="1"/>
  <c r="F1548" i="4"/>
  <c r="G1548" i="4" s="1"/>
  <c r="F1547" i="4"/>
  <c r="G1547" i="4" s="1"/>
  <c r="G1546" i="4"/>
  <c r="F1546" i="4"/>
  <c r="G1545" i="4"/>
  <c r="F1545" i="4"/>
  <c r="G1544" i="4"/>
  <c r="F1544" i="4"/>
  <c r="F1543" i="4"/>
  <c r="G1543" i="4" s="1"/>
  <c r="F1542" i="4"/>
  <c r="G1542" i="4" s="1"/>
  <c r="F1541" i="4"/>
  <c r="G1541" i="4" s="1"/>
  <c r="G1540" i="4"/>
  <c r="F1540" i="4"/>
  <c r="G1539" i="4"/>
  <c r="F1539" i="4"/>
  <c r="F1538" i="4"/>
  <c r="G1538" i="4" s="1"/>
  <c r="G1537" i="4"/>
  <c r="F1537" i="4"/>
  <c r="F1536" i="4"/>
  <c r="G1536" i="4" s="1"/>
  <c r="F1535" i="4"/>
  <c r="G1535" i="4" s="1"/>
  <c r="F1534" i="4"/>
  <c r="G1534" i="4" s="1"/>
  <c r="F1533" i="4"/>
  <c r="G1533" i="4" s="1"/>
  <c r="F1532" i="4"/>
  <c r="G1532" i="4" s="1"/>
  <c r="G1531" i="4"/>
  <c r="F1531" i="4"/>
  <c r="F1530" i="4"/>
  <c r="G1530" i="4" s="1"/>
  <c r="F1529" i="4"/>
  <c r="G1529" i="4" s="1"/>
  <c r="F1528" i="4"/>
  <c r="G1528" i="4" s="1"/>
  <c r="F1527" i="4"/>
  <c r="G1527" i="4" s="1"/>
  <c r="F1526" i="4"/>
  <c r="G1526" i="4" s="1"/>
  <c r="F1525" i="4"/>
  <c r="G1525" i="4" s="1"/>
  <c r="G1524" i="4"/>
  <c r="F1524" i="4"/>
  <c r="G1523" i="4"/>
  <c r="F1523" i="4"/>
  <c r="F1522" i="4"/>
  <c r="G1522" i="4" s="1"/>
  <c r="G1521" i="4"/>
  <c r="F1521" i="4"/>
  <c r="F1520" i="4"/>
  <c r="G1520" i="4" s="1"/>
  <c r="F1519" i="4"/>
  <c r="G1519" i="4" s="1"/>
  <c r="F1518" i="4"/>
  <c r="G1518" i="4" s="1"/>
  <c r="F1517" i="4"/>
  <c r="G1517" i="4" s="1"/>
  <c r="F1516" i="4"/>
  <c r="G1516" i="4" s="1"/>
  <c r="G1515" i="4"/>
  <c r="F1515" i="4"/>
  <c r="F1514" i="4"/>
  <c r="G1514" i="4" s="1"/>
  <c r="G1513" i="4"/>
  <c r="F1513" i="4"/>
  <c r="G1512" i="4"/>
  <c r="F1512" i="4"/>
  <c r="F1511" i="4"/>
  <c r="G1511" i="4" s="1"/>
  <c r="F1510" i="4"/>
  <c r="G1510" i="4" s="1"/>
  <c r="G1509" i="4"/>
  <c r="F1509" i="4"/>
  <c r="G1508" i="4"/>
  <c r="F1508" i="4"/>
  <c r="G1507" i="4"/>
  <c r="F1507" i="4"/>
  <c r="F1506" i="4"/>
  <c r="G1506" i="4" s="1"/>
  <c r="G1505" i="4"/>
  <c r="F1505" i="4"/>
  <c r="F1504" i="4"/>
  <c r="G1504" i="4" s="1"/>
  <c r="F1503" i="4"/>
  <c r="G1503" i="4" s="1"/>
  <c r="F1502" i="4"/>
  <c r="G1502" i="4" s="1"/>
  <c r="F1501" i="4"/>
  <c r="G1501" i="4" s="1"/>
  <c r="F1500" i="4"/>
  <c r="G1500" i="4" s="1"/>
  <c r="F1499" i="4"/>
  <c r="G1499" i="4" s="1"/>
  <c r="G1498" i="4"/>
  <c r="F1498" i="4"/>
  <c r="F1497" i="4"/>
  <c r="G1497" i="4" s="1"/>
  <c r="F1496" i="4"/>
  <c r="G1496" i="4" s="1"/>
  <c r="F1495" i="4"/>
  <c r="G1495" i="4" s="1"/>
  <c r="G1494" i="4"/>
  <c r="F1494" i="4"/>
  <c r="F1493" i="4"/>
  <c r="G1493" i="4" s="1"/>
  <c r="F1492" i="4"/>
  <c r="G1492" i="4" s="1"/>
  <c r="F1491" i="4"/>
  <c r="G1491" i="4" s="1"/>
  <c r="F1490" i="4"/>
  <c r="G1490" i="4" s="1"/>
  <c r="G1489" i="4"/>
  <c r="F1489" i="4"/>
  <c r="F1488" i="4"/>
  <c r="G1488" i="4" s="1"/>
  <c r="F1487" i="4"/>
  <c r="G1487" i="4" s="1"/>
  <c r="F1486" i="4"/>
  <c r="G1486" i="4" s="1"/>
  <c r="F1485" i="4"/>
  <c r="G1485" i="4" s="1"/>
  <c r="F1484" i="4"/>
  <c r="G1484" i="4" s="1"/>
  <c r="F1483" i="4"/>
  <c r="G1483" i="4" s="1"/>
  <c r="G1482" i="4"/>
  <c r="F1482" i="4"/>
  <c r="G1481" i="4"/>
  <c r="F1481" i="4"/>
  <c r="G1480" i="4"/>
  <c r="F1480" i="4"/>
  <c r="F1479" i="4"/>
  <c r="G1479" i="4" s="1"/>
  <c r="G1478" i="4"/>
  <c r="F1478" i="4"/>
  <c r="F1477" i="4"/>
  <c r="G1477" i="4" s="1"/>
  <c r="G1476" i="4"/>
  <c r="F1476" i="4"/>
  <c r="G1475" i="4"/>
  <c r="F1475" i="4"/>
  <c r="F1474" i="4"/>
  <c r="G1474" i="4" s="1"/>
  <c r="G1473" i="4"/>
  <c r="F1473" i="4"/>
  <c r="F1472" i="4"/>
  <c r="G1472" i="4" s="1"/>
  <c r="F1471" i="4"/>
  <c r="G1471" i="4" s="1"/>
  <c r="F1470" i="4"/>
  <c r="G1470" i="4" s="1"/>
  <c r="F1469" i="4"/>
  <c r="G1469" i="4" s="1"/>
  <c r="F1468" i="4"/>
  <c r="G1468" i="4" s="1"/>
  <c r="F1467" i="4"/>
  <c r="G1467" i="4" s="1"/>
  <c r="G1466" i="4"/>
  <c r="F1466" i="4"/>
  <c r="G1465" i="4"/>
  <c r="F1465" i="4"/>
  <c r="G1464" i="4"/>
  <c r="F1464" i="4"/>
  <c r="F1463" i="4"/>
  <c r="G1463" i="4" s="1"/>
  <c r="F1462" i="4"/>
  <c r="G1462" i="4" s="1"/>
  <c r="G1461" i="4"/>
  <c r="F1461" i="4"/>
  <c r="F1460" i="4"/>
  <c r="G1460" i="4" s="1"/>
  <c r="F1459" i="4"/>
  <c r="G1459" i="4" s="1"/>
  <c r="F1458" i="4"/>
  <c r="G1458" i="4" s="1"/>
  <c r="G1457" i="4"/>
  <c r="F1457" i="4"/>
  <c r="F1456" i="4"/>
  <c r="G1456" i="4" s="1"/>
  <c r="F1455" i="4"/>
  <c r="G1455" i="4" s="1"/>
  <c r="F1454" i="4"/>
  <c r="G1454" i="4" s="1"/>
  <c r="F1453" i="4"/>
  <c r="G1453" i="4" s="1"/>
  <c r="F1452" i="4"/>
  <c r="G1452" i="4" s="1"/>
  <c r="G1451" i="4"/>
  <c r="F1451" i="4"/>
  <c r="G1450" i="4"/>
  <c r="F1450" i="4"/>
  <c r="G1449" i="4"/>
  <c r="F1449" i="4"/>
  <c r="F1448" i="4"/>
  <c r="G1448" i="4" s="1"/>
  <c r="F1447" i="4"/>
  <c r="G1447" i="4" s="1"/>
  <c r="F1446" i="4"/>
  <c r="G1446" i="4" s="1"/>
  <c r="G1445" i="4"/>
  <c r="F1445" i="4"/>
  <c r="G1444" i="4"/>
  <c r="F1444" i="4"/>
  <c r="G1443" i="4"/>
  <c r="F1443" i="4"/>
  <c r="F1442" i="4"/>
  <c r="G1442" i="4" s="1"/>
  <c r="G1441" i="4"/>
  <c r="F1441" i="4"/>
  <c r="F1440" i="4"/>
  <c r="G1440" i="4" s="1"/>
  <c r="F1439" i="4"/>
  <c r="G1439" i="4" s="1"/>
  <c r="F1438" i="4"/>
  <c r="G1438" i="4" s="1"/>
  <c r="F1437" i="4"/>
  <c r="G1437" i="4" s="1"/>
  <c r="G1436" i="4"/>
  <c r="F1436" i="4"/>
  <c r="F1435" i="4"/>
  <c r="G1435" i="4" s="1"/>
  <c r="F1434" i="4"/>
  <c r="G1434" i="4" s="1"/>
  <c r="F1433" i="4"/>
  <c r="G1433" i="4" s="1"/>
  <c r="F1432" i="4"/>
  <c r="G1432" i="4" s="1"/>
  <c r="F1431" i="4"/>
  <c r="G1431" i="4" s="1"/>
  <c r="F1430" i="4"/>
  <c r="G1430" i="4" s="1"/>
  <c r="G1429" i="4"/>
  <c r="F1429" i="4"/>
  <c r="G1428" i="4"/>
  <c r="F1428" i="4"/>
  <c r="G1427" i="4"/>
  <c r="F1427" i="4"/>
  <c r="F1426" i="4"/>
  <c r="G1426" i="4" s="1"/>
  <c r="G1425" i="4"/>
  <c r="F1425" i="4"/>
  <c r="F1424" i="4"/>
  <c r="G1424" i="4" s="1"/>
  <c r="F1423" i="4"/>
  <c r="G1423" i="4" s="1"/>
  <c r="F1422" i="4"/>
  <c r="G1422" i="4" s="1"/>
  <c r="F1421" i="4"/>
  <c r="G1421" i="4" s="1"/>
  <c r="G1420" i="4"/>
  <c r="F1420" i="4"/>
  <c r="F1419" i="4"/>
  <c r="G1419" i="4" s="1"/>
  <c r="G1418" i="4"/>
  <c r="F1418" i="4"/>
  <c r="G1417" i="4"/>
  <c r="F1417" i="4"/>
  <c r="F1416" i="4"/>
  <c r="G1416" i="4" s="1"/>
  <c r="F1415" i="4"/>
  <c r="G1415" i="4" s="1"/>
  <c r="G1414" i="4"/>
  <c r="F1414" i="4"/>
  <c r="G1413" i="4"/>
  <c r="F1413" i="4"/>
  <c r="G1412" i="4"/>
  <c r="F1412" i="4"/>
  <c r="F1411" i="4"/>
  <c r="G1411" i="4" s="1"/>
  <c r="F1410" i="4"/>
  <c r="G1410" i="4" s="1"/>
  <c r="G1409" i="4"/>
  <c r="F1409" i="4"/>
  <c r="F1408" i="4"/>
  <c r="G1408" i="4" s="1"/>
  <c r="F1407" i="4"/>
  <c r="G1407" i="4" s="1"/>
  <c r="F1406" i="4"/>
  <c r="G1406" i="4" s="1"/>
  <c r="F1405" i="4"/>
  <c r="G1405" i="4" s="1"/>
  <c r="F1404" i="4"/>
  <c r="G1404" i="4" s="1"/>
  <c r="G1403" i="4"/>
  <c r="F1403" i="4"/>
  <c r="G1402" i="4"/>
  <c r="F1402" i="4"/>
  <c r="F1401" i="4"/>
  <c r="G1401" i="4" s="1"/>
  <c r="F1400" i="4"/>
  <c r="G1400" i="4" s="1"/>
  <c r="F1399" i="4"/>
  <c r="G1399" i="4" s="1"/>
  <c r="F1398" i="4"/>
  <c r="G1398" i="4" s="1"/>
  <c r="F1397" i="4"/>
  <c r="G1397" i="4" s="1"/>
  <c r="F1396" i="4"/>
  <c r="G1396" i="4" s="1"/>
  <c r="F1395" i="4"/>
  <c r="G1395" i="4" s="1"/>
  <c r="F1394" i="4"/>
  <c r="G1394" i="4" s="1"/>
  <c r="G1393" i="4"/>
  <c r="F1393" i="4"/>
  <c r="F1392" i="4"/>
  <c r="G1392" i="4" s="1"/>
  <c r="F1391" i="4"/>
  <c r="G1391" i="4" s="1"/>
  <c r="F1390" i="4"/>
  <c r="G1390" i="4" s="1"/>
  <c r="F1389" i="4"/>
  <c r="G1389" i="4" s="1"/>
  <c r="G1388" i="4"/>
  <c r="F1388" i="4"/>
  <c r="G1387" i="4"/>
  <c r="F1387" i="4"/>
  <c r="G1386" i="4"/>
  <c r="F1386" i="4"/>
  <c r="G1385" i="4"/>
  <c r="F1385" i="4"/>
  <c r="F1384" i="4"/>
  <c r="G1384" i="4" s="1"/>
  <c r="G1383" i="4"/>
  <c r="F1383" i="4"/>
  <c r="F1382" i="4"/>
  <c r="G1382" i="4" s="1"/>
  <c r="G1381" i="4"/>
  <c r="F1381" i="4"/>
  <c r="G1380" i="4"/>
  <c r="F1380" i="4"/>
  <c r="F1379" i="4"/>
  <c r="G1379" i="4" s="1"/>
  <c r="F1378" i="4"/>
  <c r="G1378" i="4" s="1"/>
  <c r="G1377" i="4"/>
  <c r="F1377" i="4"/>
  <c r="F1376" i="4"/>
  <c r="G1376" i="4" s="1"/>
  <c r="F1375" i="4"/>
  <c r="G1375" i="4" s="1"/>
  <c r="F1374" i="4"/>
  <c r="G1374" i="4" s="1"/>
  <c r="F1373" i="4"/>
  <c r="G1373" i="4" s="1"/>
  <c r="F1372" i="4"/>
  <c r="G1372" i="4" s="1"/>
  <c r="G1371" i="4"/>
  <c r="F1371" i="4"/>
  <c r="G1370" i="4"/>
  <c r="F1370" i="4"/>
  <c r="G1369" i="4"/>
  <c r="F1369" i="4"/>
  <c r="F1368" i="4"/>
  <c r="G1368" i="4" s="1"/>
  <c r="F1367" i="4"/>
  <c r="G1367" i="4" s="1"/>
  <c r="G1366" i="4"/>
  <c r="F1366" i="4"/>
  <c r="G1365" i="4"/>
  <c r="F1365" i="4"/>
  <c r="F1364" i="4"/>
  <c r="G1364" i="4" s="1"/>
  <c r="F1363" i="4"/>
  <c r="G1363" i="4" s="1"/>
  <c r="F1362" i="4"/>
  <c r="G1362" i="4" s="1"/>
  <c r="G1361" i="4"/>
  <c r="F1361" i="4"/>
  <c r="F1360" i="4"/>
  <c r="G1360" i="4" s="1"/>
  <c r="F1359" i="4"/>
  <c r="G1359" i="4" s="1"/>
  <c r="F1358" i="4"/>
  <c r="G1358" i="4" s="1"/>
  <c r="F1357" i="4"/>
  <c r="G1357" i="4" s="1"/>
  <c r="G1356" i="4"/>
  <c r="F1356" i="4"/>
  <c r="G1355" i="4"/>
  <c r="F1355" i="4"/>
  <c r="G1354" i="4"/>
  <c r="F1354" i="4"/>
  <c r="G1353" i="4"/>
  <c r="F1353" i="4"/>
  <c r="F1352" i="4"/>
  <c r="G1352" i="4" s="1"/>
  <c r="G1351" i="4"/>
  <c r="F1351" i="4"/>
  <c r="G1350" i="4"/>
  <c r="F1350" i="4"/>
  <c r="G1349" i="4"/>
  <c r="F1349" i="4"/>
  <c r="G1348" i="4"/>
  <c r="F1348" i="4"/>
  <c r="F1347" i="4"/>
  <c r="G1347" i="4" s="1"/>
  <c r="F1346" i="4"/>
  <c r="G1346" i="4" s="1"/>
  <c r="G1345" i="4"/>
  <c r="F1345" i="4"/>
  <c r="F1344" i="4"/>
  <c r="G1344" i="4" s="1"/>
  <c r="F1343" i="4"/>
  <c r="G1343" i="4" s="1"/>
  <c r="F1342" i="4"/>
  <c r="G1342" i="4" s="1"/>
  <c r="F1341" i="4"/>
  <c r="G1341" i="4" s="1"/>
  <c r="F1340" i="4"/>
  <c r="G1340" i="4" s="1"/>
  <c r="F1339" i="4"/>
  <c r="G1339" i="4" s="1"/>
  <c r="F1338" i="4"/>
  <c r="G1338" i="4" s="1"/>
  <c r="F1337" i="4"/>
  <c r="G1337" i="4" s="1"/>
  <c r="F1336" i="4"/>
  <c r="G1336" i="4" s="1"/>
  <c r="F1335" i="4"/>
  <c r="G1335" i="4" s="1"/>
  <c r="G1334" i="4"/>
  <c r="F1334" i="4"/>
  <c r="G1333" i="4"/>
  <c r="F1333" i="4"/>
  <c r="G1332" i="4"/>
  <c r="F1332" i="4"/>
  <c r="F1331" i="4"/>
  <c r="G1331" i="4" s="1"/>
  <c r="F1330" i="4"/>
  <c r="G1330" i="4" s="1"/>
  <c r="G1329" i="4"/>
  <c r="F1329" i="4"/>
  <c r="F1328" i="4"/>
  <c r="G1328" i="4" s="1"/>
  <c r="F1327" i="4"/>
  <c r="G1327" i="4" s="1"/>
  <c r="F1326" i="4"/>
  <c r="G1326" i="4" s="1"/>
  <c r="F1325" i="4"/>
  <c r="G1325" i="4" s="1"/>
  <c r="F1324" i="4"/>
  <c r="G1324" i="4" s="1"/>
  <c r="G1323" i="4"/>
  <c r="F1323" i="4"/>
  <c r="G1322" i="4"/>
  <c r="F1322" i="4"/>
  <c r="F1321" i="4"/>
  <c r="G1321" i="4" s="1"/>
  <c r="F1320" i="4"/>
  <c r="G1320" i="4" s="1"/>
  <c r="G1319" i="4"/>
  <c r="F1319" i="4"/>
  <c r="G1318" i="4"/>
  <c r="F1318" i="4"/>
  <c r="G1317" i="4"/>
  <c r="F1317" i="4"/>
  <c r="F1316" i="4"/>
  <c r="G1316" i="4" s="1"/>
  <c r="F1315" i="4"/>
  <c r="G1315" i="4" s="1"/>
  <c r="F1314" i="4"/>
  <c r="G1314" i="4" s="1"/>
  <c r="G1313" i="4"/>
  <c r="F1313" i="4"/>
  <c r="F1312" i="4"/>
  <c r="G1312" i="4" s="1"/>
  <c r="F1311" i="4"/>
  <c r="G1311" i="4" s="1"/>
  <c r="F1310" i="4"/>
  <c r="G1310" i="4" s="1"/>
  <c r="F1309" i="4"/>
  <c r="G1309" i="4" s="1"/>
  <c r="G1308" i="4"/>
  <c r="F1308" i="4"/>
  <c r="F1307" i="4"/>
  <c r="G1307" i="4" s="1"/>
  <c r="F1306" i="4"/>
  <c r="G1306" i="4" s="1"/>
  <c r="F1305" i="4"/>
  <c r="G1305" i="4" s="1"/>
  <c r="F1304" i="4"/>
  <c r="G1304" i="4" s="1"/>
  <c r="F1303" i="4"/>
  <c r="G1303" i="4" s="1"/>
  <c r="F1302" i="4"/>
  <c r="G1302" i="4" s="1"/>
  <c r="F1301" i="4"/>
  <c r="G1301" i="4" s="1"/>
  <c r="F1300" i="4"/>
  <c r="G1300" i="4" s="1"/>
  <c r="F1299" i="4"/>
  <c r="G1299" i="4" s="1"/>
  <c r="F1298" i="4"/>
  <c r="G1298" i="4" s="1"/>
  <c r="G1297" i="4"/>
  <c r="F1297" i="4"/>
  <c r="F1296" i="4"/>
  <c r="G1296" i="4" s="1"/>
  <c r="F1295" i="4"/>
  <c r="G1295" i="4" s="1"/>
  <c r="F1294" i="4"/>
  <c r="G1294" i="4" s="1"/>
  <c r="F1293" i="4"/>
  <c r="G1293" i="4" s="1"/>
  <c r="G1292" i="4"/>
  <c r="F1292" i="4"/>
  <c r="G1291" i="4"/>
  <c r="F1291" i="4"/>
  <c r="G1290" i="4"/>
  <c r="F1290" i="4"/>
  <c r="F1289" i="4"/>
  <c r="G1289" i="4" s="1"/>
  <c r="G1288" i="4"/>
  <c r="F1288" i="4"/>
  <c r="F1287" i="4"/>
  <c r="G1287" i="4" s="1"/>
  <c r="G1286" i="4"/>
  <c r="F1286" i="4"/>
  <c r="G1285" i="4"/>
  <c r="F1285" i="4"/>
  <c r="F1284" i="4"/>
  <c r="G1284" i="4" s="1"/>
  <c r="F1283" i="4"/>
  <c r="G1283" i="4" s="1"/>
  <c r="F1282" i="4"/>
  <c r="G1282" i="4" s="1"/>
  <c r="F1281" i="4"/>
  <c r="G1281" i="4" s="1"/>
  <c r="F1280" i="4"/>
  <c r="G1280" i="4" s="1"/>
  <c r="F1279" i="4"/>
  <c r="G1279" i="4" s="1"/>
  <c r="F1278" i="4"/>
  <c r="G1278" i="4" s="1"/>
  <c r="F1277" i="4"/>
  <c r="G1277" i="4" s="1"/>
  <c r="G1276" i="4"/>
  <c r="F1276" i="4"/>
  <c r="G1275" i="4"/>
  <c r="F1275" i="4"/>
  <c r="G1274" i="4"/>
  <c r="F1274" i="4"/>
  <c r="F1273" i="4"/>
  <c r="G1273" i="4" s="1"/>
  <c r="F1272" i="4"/>
  <c r="G1272" i="4" s="1"/>
  <c r="G1271" i="4"/>
  <c r="F1271" i="4"/>
  <c r="F1270" i="4"/>
  <c r="G1270" i="4" s="1"/>
  <c r="F1269" i="4"/>
  <c r="G1269" i="4" s="1"/>
  <c r="F1268" i="4"/>
  <c r="G1268" i="4" s="1"/>
  <c r="F1267" i="4"/>
  <c r="G1267" i="4" s="1"/>
  <c r="F1266" i="4"/>
  <c r="G1266" i="4" s="1"/>
  <c r="F1265" i="4"/>
  <c r="G1265" i="4" s="1"/>
  <c r="F1264" i="4"/>
  <c r="G1264" i="4" s="1"/>
  <c r="F1263" i="4"/>
  <c r="G1263" i="4" s="1"/>
  <c r="F1262" i="4"/>
  <c r="G1262" i="4" s="1"/>
  <c r="F1261" i="4"/>
  <c r="G1261" i="4" s="1"/>
  <c r="G1260" i="4"/>
  <c r="F1260" i="4"/>
  <c r="G1259" i="4"/>
  <c r="F1259" i="4"/>
  <c r="G1258" i="4"/>
  <c r="F1258" i="4"/>
  <c r="F1257" i="4"/>
  <c r="G1257" i="4" s="1"/>
  <c r="G1256" i="4"/>
  <c r="F1256" i="4"/>
  <c r="G1255" i="4"/>
  <c r="F1255" i="4"/>
  <c r="G1254" i="4"/>
  <c r="F1254" i="4"/>
  <c r="G1253" i="4"/>
  <c r="F1253" i="4"/>
  <c r="F1252" i="4"/>
  <c r="G1252" i="4" s="1"/>
  <c r="G1251" i="4"/>
  <c r="F1251" i="4"/>
  <c r="F1250" i="4"/>
  <c r="G1250" i="4" s="1"/>
  <c r="F1249" i="4"/>
  <c r="G1249" i="4" s="1"/>
  <c r="F1248" i="4"/>
  <c r="G1248" i="4" s="1"/>
  <c r="F1247" i="4"/>
  <c r="G1247" i="4" s="1"/>
  <c r="F1246" i="4"/>
  <c r="G1246" i="4" s="1"/>
  <c r="F1245" i="4"/>
  <c r="G1245" i="4" s="1"/>
  <c r="F1244" i="4"/>
  <c r="G1244" i="4" s="1"/>
  <c r="F1243" i="4"/>
  <c r="G1243" i="4" s="1"/>
  <c r="F1242" i="4"/>
  <c r="G1242" i="4" s="1"/>
  <c r="F1241" i="4"/>
  <c r="G1241" i="4" s="1"/>
  <c r="F1240" i="4"/>
  <c r="G1240" i="4" s="1"/>
  <c r="G1239" i="4"/>
  <c r="F1239" i="4"/>
  <c r="G1238" i="4"/>
  <c r="F1238" i="4"/>
  <c r="G1237" i="4"/>
  <c r="F1237" i="4"/>
  <c r="F1236" i="4"/>
  <c r="G1236" i="4" s="1"/>
  <c r="F1235" i="4"/>
  <c r="G1235" i="4" s="1"/>
  <c r="F1234" i="4"/>
  <c r="G1234" i="4" s="1"/>
  <c r="F1233" i="4"/>
  <c r="G1233" i="4" s="1"/>
  <c r="F1232" i="4"/>
  <c r="G1232" i="4" s="1"/>
  <c r="F1231" i="4"/>
  <c r="G1231" i="4" s="1"/>
  <c r="F1230" i="4"/>
  <c r="G1230" i="4" s="1"/>
  <c r="F1229" i="4"/>
  <c r="G1229" i="4" s="1"/>
  <c r="G1228" i="4"/>
  <c r="F1228" i="4"/>
  <c r="G1227" i="4"/>
  <c r="F1227" i="4"/>
  <c r="F1226" i="4"/>
  <c r="G1226" i="4" s="1"/>
  <c r="F1225" i="4"/>
  <c r="G1225" i="4" s="1"/>
  <c r="F1224" i="4"/>
  <c r="G1224" i="4" s="1"/>
  <c r="G1223" i="4"/>
  <c r="F1223" i="4"/>
  <c r="G1222" i="4"/>
  <c r="F1222" i="4"/>
  <c r="F1221" i="4"/>
  <c r="G1221" i="4" s="1"/>
  <c r="F1220" i="4"/>
  <c r="G1220" i="4" s="1"/>
  <c r="G1219" i="4"/>
  <c r="F1219" i="4"/>
  <c r="F1218" i="4"/>
  <c r="G1218" i="4" s="1"/>
  <c r="F1217" i="4"/>
  <c r="G1217" i="4" s="1"/>
  <c r="F1216" i="4"/>
  <c r="G1216" i="4" s="1"/>
  <c r="F1215" i="4"/>
  <c r="G1215" i="4" s="1"/>
  <c r="F1214" i="4"/>
  <c r="G1214" i="4" s="1"/>
  <c r="F1213" i="4"/>
  <c r="G1213" i="4" s="1"/>
  <c r="F1212" i="4"/>
  <c r="G1212" i="4" s="1"/>
  <c r="F1211" i="4"/>
  <c r="G1211" i="4" s="1"/>
  <c r="F1210" i="4"/>
  <c r="G1210" i="4" s="1"/>
  <c r="F1209" i="4"/>
  <c r="G1209" i="4" s="1"/>
  <c r="F1208" i="4"/>
  <c r="G1208" i="4" s="1"/>
  <c r="F1207" i="4"/>
  <c r="G1207" i="4" s="1"/>
  <c r="F1206" i="4"/>
  <c r="G1206" i="4" s="1"/>
  <c r="F1205" i="4"/>
  <c r="G1205" i="4" s="1"/>
  <c r="F1204" i="4"/>
  <c r="G1204" i="4" s="1"/>
  <c r="F1203" i="4"/>
  <c r="G1203" i="4" s="1"/>
  <c r="F1202" i="4"/>
  <c r="G1202" i="4" s="1"/>
  <c r="F1201" i="4"/>
  <c r="G1201" i="4" s="1"/>
  <c r="F1200" i="4"/>
  <c r="G1200" i="4" s="1"/>
  <c r="F1199" i="4"/>
  <c r="G1199" i="4" s="1"/>
  <c r="F1198" i="4"/>
  <c r="G1198" i="4" s="1"/>
  <c r="F1197" i="4"/>
  <c r="G1197" i="4" s="1"/>
  <c r="G1196" i="4"/>
  <c r="F1196" i="4"/>
  <c r="G1195" i="4"/>
  <c r="F1195" i="4"/>
  <c r="F1194" i="4"/>
  <c r="G1194" i="4" s="1"/>
  <c r="G1193" i="4"/>
  <c r="F1193" i="4"/>
  <c r="F1192" i="4"/>
  <c r="G1192" i="4" s="1"/>
  <c r="G1191" i="4"/>
  <c r="F1191" i="4"/>
  <c r="G1190" i="4"/>
  <c r="F1190" i="4"/>
  <c r="F1189" i="4"/>
  <c r="G1189" i="4" s="1"/>
  <c r="F1188" i="4"/>
  <c r="G1188" i="4" s="1"/>
  <c r="F1187" i="4"/>
  <c r="G1187" i="4" s="1"/>
  <c r="F1186" i="4"/>
  <c r="G1186" i="4" s="1"/>
  <c r="F1185" i="4"/>
  <c r="G1185" i="4" s="1"/>
  <c r="F1184" i="4"/>
  <c r="G1184" i="4" s="1"/>
  <c r="F1183" i="4"/>
  <c r="G1183" i="4" s="1"/>
  <c r="F1182" i="4"/>
  <c r="G1182" i="4" s="1"/>
  <c r="F1181" i="4"/>
  <c r="G1181" i="4" s="1"/>
  <c r="G1180" i="4"/>
  <c r="F1180" i="4"/>
  <c r="G1179" i="4"/>
  <c r="F1179" i="4"/>
  <c r="F1178" i="4"/>
  <c r="G1178" i="4" s="1"/>
  <c r="F1177" i="4"/>
  <c r="G1177" i="4" s="1"/>
  <c r="G1176" i="4"/>
  <c r="F1176" i="4"/>
  <c r="F1175" i="4"/>
  <c r="G1175" i="4" s="1"/>
  <c r="F1174" i="4"/>
  <c r="G1174" i="4" s="1"/>
  <c r="F1173" i="4"/>
  <c r="G1173" i="4" s="1"/>
  <c r="F1172" i="4"/>
  <c r="G1172" i="4" s="1"/>
  <c r="F1171" i="4"/>
  <c r="G1171" i="4" s="1"/>
  <c r="F1170" i="4"/>
  <c r="G1170" i="4" s="1"/>
  <c r="F1169" i="4"/>
  <c r="G1169" i="4" s="1"/>
  <c r="F1168" i="4"/>
  <c r="G1168" i="4" s="1"/>
  <c r="F1167" i="4"/>
  <c r="G1167" i="4" s="1"/>
  <c r="F1166" i="4"/>
  <c r="G1166" i="4" s="1"/>
  <c r="F1165" i="4"/>
  <c r="G1165" i="4" s="1"/>
  <c r="G1164" i="4"/>
  <c r="F1164" i="4"/>
  <c r="F1163" i="4"/>
  <c r="G1163" i="4" s="1"/>
  <c r="F1162" i="4"/>
  <c r="G1162" i="4" s="1"/>
  <c r="G1161" i="4"/>
  <c r="F1161" i="4"/>
  <c r="G1160" i="4"/>
  <c r="F1160" i="4"/>
  <c r="G1159" i="4"/>
  <c r="F1159" i="4"/>
  <c r="G1158" i="4"/>
  <c r="F1158" i="4"/>
  <c r="F1157" i="4"/>
  <c r="G1157" i="4" s="1"/>
  <c r="G1156" i="4"/>
  <c r="F1156" i="4"/>
  <c r="F1155" i="4"/>
  <c r="G1155" i="4" s="1"/>
  <c r="F1154" i="4"/>
  <c r="G1154" i="4" s="1"/>
  <c r="F1153" i="4"/>
  <c r="G1153" i="4" s="1"/>
  <c r="F1152" i="4"/>
  <c r="G1152" i="4" s="1"/>
  <c r="F1151" i="4"/>
  <c r="G1151" i="4" s="1"/>
  <c r="F1150" i="4"/>
  <c r="G1150" i="4" s="1"/>
  <c r="F1149" i="4"/>
  <c r="G1149" i="4" s="1"/>
  <c r="F1148" i="4"/>
  <c r="G1148" i="4" s="1"/>
  <c r="F1147" i="4"/>
  <c r="G1147" i="4" s="1"/>
  <c r="F1146" i="4"/>
  <c r="G1146" i="4" s="1"/>
  <c r="F1145" i="4"/>
  <c r="G1145" i="4" s="1"/>
  <c r="G1144" i="4"/>
  <c r="F1144" i="4"/>
  <c r="G1143" i="4"/>
  <c r="F1143" i="4"/>
  <c r="G1142" i="4"/>
  <c r="F1142" i="4"/>
  <c r="F1141" i="4"/>
  <c r="G1141" i="4" s="1"/>
  <c r="F1140" i="4"/>
  <c r="G1140" i="4" s="1"/>
  <c r="G1139" i="4"/>
  <c r="F1139" i="4"/>
  <c r="F1138" i="4"/>
  <c r="G1138" i="4" s="1"/>
  <c r="G1137" i="4"/>
  <c r="F1137" i="4"/>
  <c r="F1136" i="4"/>
  <c r="G1136" i="4" s="1"/>
  <c r="F1135" i="4"/>
  <c r="G1135" i="4" s="1"/>
  <c r="F1134" i="4"/>
  <c r="G1134" i="4" s="1"/>
  <c r="F1133" i="4"/>
  <c r="G1133" i="4" s="1"/>
  <c r="F1132" i="4"/>
  <c r="G1132" i="4" s="1"/>
  <c r="F1131" i="4"/>
  <c r="G1131" i="4" s="1"/>
  <c r="F1130" i="4"/>
  <c r="G1130" i="4" s="1"/>
  <c r="F1129" i="4"/>
  <c r="G1129" i="4" s="1"/>
  <c r="F1128" i="4"/>
  <c r="G1128" i="4" s="1"/>
  <c r="F1127" i="4"/>
  <c r="G1127" i="4" s="1"/>
  <c r="G1126" i="4"/>
  <c r="F1126" i="4"/>
  <c r="G1125" i="4"/>
  <c r="F1125" i="4"/>
  <c r="G1124" i="4"/>
  <c r="F1124" i="4"/>
  <c r="F1123" i="4"/>
  <c r="G1123" i="4" s="1"/>
  <c r="F1122" i="4"/>
  <c r="G1122" i="4" s="1"/>
  <c r="G1121" i="4"/>
  <c r="F1121" i="4"/>
  <c r="F1120" i="4"/>
  <c r="G1120" i="4" s="1"/>
  <c r="F1119" i="4"/>
  <c r="G1119" i="4" s="1"/>
  <c r="F1118" i="4"/>
  <c r="G1118" i="4" s="1"/>
  <c r="F1117" i="4"/>
  <c r="G1117" i="4" s="1"/>
  <c r="F1116" i="4"/>
  <c r="G1116" i="4" s="1"/>
  <c r="F1115" i="4"/>
  <c r="G1115" i="4" s="1"/>
  <c r="F1114" i="4"/>
  <c r="G1114" i="4" s="1"/>
  <c r="F1113" i="4"/>
  <c r="G1113" i="4" s="1"/>
  <c r="F1112" i="4"/>
  <c r="G1112" i="4" s="1"/>
  <c r="G1111" i="4"/>
  <c r="F1111" i="4"/>
  <c r="F1110" i="4"/>
  <c r="G1110" i="4" s="1"/>
  <c r="F1109" i="4"/>
  <c r="G1109" i="4" s="1"/>
  <c r="G1108" i="4"/>
  <c r="F1108" i="4"/>
  <c r="G1107" i="4"/>
  <c r="F1107" i="4"/>
  <c r="F1106" i="4"/>
  <c r="G1106" i="4" s="1"/>
  <c r="G1105" i="4"/>
  <c r="F1105" i="4"/>
  <c r="F1104" i="4"/>
  <c r="G1104" i="4" s="1"/>
  <c r="F1103" i="4"/>
  <c r="G1103" i="4" s="1"/>
  <c r="F1102" i="4"/>
  <c r="G1102" i="4" s="1"/>
  <c r="G1101" i="4"/>
  <c r="F1101" i="4"/>
  <c r="F1100" i="4"/>
  <c r="G1100" i="4" s="1"/>
  <c r="F1099" i="4"/>
  <c r="G1099" i="4" s="1"/>
  <c r="F1098" i="4"/>
  <c r="G1098" i="4" s="1"/>
  <c r="F1097" i="4"/>
  <c r="G1097" i="4" s="1"/>
  <c r="F1096" i="4"/>
  <c r="G1096" i="4" s="1"/>
  <c r="F1095" i="4"/>
  <c r="G1095" i="4" s="1"/>
  <c r="F1094" i="4"/>
  <c r="G1094" i="4" s="1"/>
  <c r="F1093" i="4"/>
  <c r="G1093" i="4" s="1"/>
  <c r="F1092" i="4"/>
  <c r="G1092" i="4" s="1"/>
  <c r="F1091" i="4"/>
  <c r="G1091" i="4" s="1"/>
  <c r="F1090" i="4"/>
  <c r="G1090" i="4" s="1"/>
  <c r="F1089" i="4"/>
  <c r="G1089" i="4" s="1"/>
  <c r="F1088" i="4"/>
  <c r="G1088" i="4" s="1"/>
  <c r="F1087" i="4"/>
  <c r="G1087" i="4" s="1"/>
  <c r="F1086" i="4"/>
  <c r="G1086" i="4" s="1"/>
  <c r="F1085" i="4"/>
  <c r="G1085" i="4" s="1"/>
  <c r="F1084" i="4"/>
  <c r="G1084" i="4" s="1"/>
  <c r="G1083" i="4"/>
  <c r="F1083" i="4"/>
  <c r="F1082" i="4"/>
  <c r="G1082" i="4" s="1"/>
  <c r="F1081" i="4"/>
  <c r="G1081" i="4" s="1"/>
  <c r="F1080" i="4"/>
  <c r="G1080" i="4" s="1"/>
  <c r="F1079" i="4"/>
  <c r="G1079" i="4" s="1"/>
  <c r="F1078" i="4"/>
  <c r="G1078" i="4" s="1"/>
  <c r="F1077" i="4"/>
  <c r="G1077" i="4" s="1"/>
  <c r="F1076" i="4"/>
  <c r="G1076" i="4" s="1"/>
  <c r="G1075" i="4"/>
  <c r="F1075" i="4"/>
  <c r="F1074" i="4"/>
  <c r="G1074" i="4" s="1"/>
  <c r="G1073" i="4"/>
  <c r="F1073" i="4"/>
  <c r="F1072" i="4"/>
  <c r="G1072" i="4" s="1"/>
  <c r="F1071" i="4"/>
  <c r="G1071" i="4" s="1"/>
  <c r="F1070" i="4"/>
  <c r="G1070" i="4" s="1"/>
  <c r="G1069" i="4"/>
  <c r="F1069" i="4"/>
  <c r="G1068" i="4"/>
  <c r="F1068" i="4"/>
  <c r="F1067" i="4"/>
  <c r="G1067" i="4" s="1"/>
  <c r="F1066" i="4"/>
  <c r="G1066" i="4" s="1"/>
  <c r="G1065" i="4"/>
  <c r="F1065" i="4"/>
  <c r="F1064" i="4"/>
  <c r="G1064" i="4" s="1"/>
  <c r="F1063" i="4"/>
  <c r="G1063" i="4" s="1"/>
  <c r="F1062" i="4"/>
  <c r="G1062" i="4" s="1"/>
  <c r="F1061" i="4"/>
  <c r="G1061" i="4" s="1"/>
  <c r="F1060" i="4"/>
  <c r="G1060" i="4" s="1"/>
  <c r="F1059" i="4"/>
  <c r="G1059" i="4" s="1"/>
  <c r="F1058" i="4"/>
  <c r="G1058" i="4" s="1"/>
  <c r="F1057" i="4"/>
  <c r="G1057" i="4" s="1"/>
  <c r="F1056" i="4"/>
  <c r="G1056" i="4" s="1"/>
  <c r="F1055" i="4"/>
  <c r="G1055" i="4" s="1"/>
  <c r="F1054" i="4"/>
  <c r="G1054" i="4" s="1"/>
  <c r="F1053" i="4"/>
  <c r="G1053" i="4" s="1"/>
  <c r="F1052" i="4"/>
  <c r="G1052" i="4" s="1"/>
  <c r="G1051" i="4"/>
  <c r="F1051" i="4"/>
  <c r="G1050" i="4"/>
  <c r="F1050" i="4"/>
  <c r="F1049" i="4"/>
  <c r="G1049" i="4" s="1"/>
  <c r="F1048" i="4"/>
  <c r="G1048" i="4" s="1"/>
  <c r="G1047" i="4"/>
  <c r="F1047" i="4"/>
  <c r="F1046" i="4"/>
  <c r="G1046" i="4" s="1"/>
  <c r="F1045" i="4"/>
  <c r="G1045" i="4" s="1"/>
  <c r="F1044" i="4"/>
  <c r="G1044" i="4" s="1"/>
  <c r="F1043" i="4"/>
  <c r="G1043" i="4" s="1"/>
  <c r="F1042" i="4"/>
  <c r="G1042" i="4" s="1"/>
  <c r="F1041" i="4"/>
  <c r="G1041" i="4" s="1"/>
  <c r="F1040" i="4"/>
  <c r="G1040" i="4" s="1"/>
  <c r="F1039" i="4"/>
  <c r="G1039" i="4" s="1"/>
  <c r="F1038" i="4"/>
  <c r="G1038" i="4" s="1"/>
  <c r="G1037" i="4"/>
  <c r="F1037" i="4"/>
  <c r="G1036" i="4"/>
  <c r="F1036" i="4"/>
  <c r="F1035" i="4"/>
  <c r="G1035" i="4" s="1"/>
  <c r="G1034" i="4"/>
  <c r="F1034" i="4"/>
  <c r="G1033" i="4"/>
  <c r="F1033" i="4"/>
  <c r="G1032" i="4"/>
  <c r="F1032" i="4"/>
  <c r="F1031" i="4"/>
  <c r="G1031" i="4" s="1"/>
  <c r="F1030" i="4"/>
  <c r="G1030" i="4" s="1"/>
  <c r="G1029" i="4"/>
  <c r="F1029" i="4"/>
  <c r="F1028" i="4"/>
  <c r="G1028" i="4" s="1"/>
  <c r="F1027" i="4"/>
  <c r="G1027" i="4" s="1"/>
  <c r="F1026" i="4"/>
  <c r="G1026" i="4" s="1"/>
  <c r="G1025" i="4"/>
  <c r="F1025" i="4"/>
  <c r="F1024" i="4"/>
  <c r="G1024" i="4" s="1"/>
  <c r="F1023" i="4"/>
  <c r="G1023" i="4" s="1"/>
  <c r="F1022" i="4"/>
  <c r="G1022" i="4" s="1"/>
  <c r="F1021" i="4"/>
  <c r="G1021" i="4" s="1"/>
  <c r="F1020" i="4"/>
  <c r="G1020" i="4" s="1"/>
  <c r="F1019" i="4"/>
  <c r="G1019" i="4" s="1"/>
  <c r="G1018" i="4"/>
  <c r="F1018" i="4"/>
  <c r="F1017" i="4"/>
  <c r="G1017" i="4" s="1"/>
  <c r="F1016" i="4"/>
  <c r="G1016" i="4" s="1"/>
  <c r="G1015" i="4"/>
  <c r="F1015" i="4"/>
  <c r="G1014" i="4"/>
  <c r="F1014" i="4"/>
  <c r="F1013" i="4"/>
  <c r="G1013" i="4" s="1"/>
  <c r="F1012" i="4"/>
  <c r="G1012" i="4" s="1"/>
  <c r="G1011" i="4"/>
  <c r="F1011" i="4"/>
  <c r="F1010" i="4"/>
  <c r="G1010" i="4" s="1"/>
  <c r="G1009" i="4"/>
  <c r="F1009" i="4"/>
  <c r="F1008" i="4"/>
  <c r="G1008" i="4" s="1"/>
  <c r="F1007" i="4"/>
  <c r="G1007" i="4" s="1"/>
  <c r="F1006" i="4"/>
  <c r="G1006" i="4" s="1"/>
  <c r="F1005" i="4"/>
  <c r="G1005" i="4" s="1"/>
  <c r="F1004" i="4"/>
  <c r="G1004" i="4" s="1"/>
  <c r="F1003" i="4"/>
  <c r="G1003" i="4" s="1"/>
  <c r="F1002" i="4"/>
  <c r="G1002" i="4" s="1"/>
  <c r="F1001" i="4"/>
  <c r="G1001" i="4" s="1"/>
  <c r="F1000" i="4"/>
  <c r="G1000" i="4" s="1"/>
  <c r="F999" i="4"/>
  <c r="G999" i="4" s="1"/>
  <c r="G998" i="4"/>
  <c r="F998" i="4"/>
  <c r="F997" i="4"/>
  <c r="G997" i="4" s="1"/>
  <c r="G996" i="4"/>
  <c r="F996" i="4"/>
  <c r="F995" i="4"/>
  <c r="G995" i="4" s="1"/>
  <c r="F994" i="4"/>
  <c r="G994" i="4" s="1"/>
  <c r="G993" i="4"/>
  <c r="F993" i="4"/>
  <c r="F992" i="4"/>
  <c r="G992" i="4" s="1"/>
  <c r="F991" i="4"/>
  <c r="G991" i="4" s="1"/>
  <c r="F990" i="4"/>
  <c r="G990" i="4" s="1"/>
  <c r="F989" i="4"/>
  <c r="G989" i="4" s="1"/>
  <c r="F988" i="4"/>
  <c r="G988" i="4" s="1"/>
  <c r="F987" i="4"/>
  <c r="G987" i="4" s="1"/>
  <c r="F986" i="4"/>
  <c r="G986" i="4" s="1"/>
  <c r="F985" i="4"/>
  <c r="G985" i="4" s="1"/>
  <c r="F984" i="4"/>
  <c r="G984" i="4" s="1"/>
  <c r="F983" i="4"/>
  <c r="G983" i="4" s="1"/>
  <c r="G982" i="4"/>
  <c r="F982" i="4"/>
  <c r="F981" i="4"/>
  <c r="G981" i="4" s="1"/>
  <c r="F980" i="4"/>
  <c r="G980" i="4" s="1"/>
  <c r="F979" i="4"/>
  <c r="G979" i="4" s="1"/>
  <c r="F978" i="4"/>
  <c r="G978" i="4" s="1"/>
  <c r="G977" i="4"/>
  <c r="F977" i="4"/>
  <c r="F976" i="4"/>
  <c r="G976" i="4" s="1"/>
  <c r="F975" i="4"/>
  <c r="G975" i="4" s="1"/>
  <c r="F974" i="4"/>
  <c r="G974" i="4" s="1"/>
  <c r="G973" i="4"/>
  <c r="F973" i="4"/>
  <c r="F972" i="4"/>
  <c r="G972" i="4" s="1"/>
  <c r="F971" i="4"/>
  <c r="G971" i="4" s="1"/>
  <c r="F970" i="4"/>
  <c r="G970" i="4" s="1"/>
  <c r="F969" i="4"/>
  <c r="G969" i="4" s="1"/>
  <c r="F968" i="4"/>
  <c r="G968" i="4" s="1"/>
  <c r="F967" i="4"/>
  <c r="G967" i="4" s="1"/>
  <c r="F966" i="4"/>
  <c r="G966" i="4" s="1"/>
  <c r="G965" i="4"/>
  <c r="F965" i="4"/>
  <c r="F964" i="4"/>
  <c r="G964" i="4" s="1"/>
  <c r="F963" i="4"/>
  <c r="G963" i="4" s="1"/>
  <c r="F962" i="4"/>
  <c r="G962" i="4" s="1"/>
  <c r="F961" i="4"/>
  <c r="G961" i="4" s="1"/>
  <c r="F960" i="4"/>
  <c r="G960" i="4" s="1"/>
  <c r="F959" i="4"/>
  <c r="G959" i="4" s="1"/>
  <c r="F958" i="4"/>
  <c r="G958" i="4" s="1"/>
  <c r="F957" i="4"/>
  <c r="G957" i="4" s="1"/>
  <c r="F956" i="4"/>
  <c r="G956" i="4" s="1"/>
  <c r="G955" i="4"/>
  <c r="F955" i="4"/>
  <c r="F954" i="4"/>
  <c r="G954" i="4" s="1"/>
  <c r="F953" i="4"/>
  <c r="G953" i="4" s="1"/>
  <c r="F952" i="4"/>
  <c r="G952" i="4" s="1"/>
  <c r="F951" i="4"/>
  <c r="G951" i="4" s="1"/>
  <c r="F950" i="4"/>
  <c r="G950" i="4" s="1"/>
  <c r="F949" i="4"/>
  <c r="G949" i="4" s="1"/>
  <c r="F948" i="4"/>
  <c r="G948" i="4" s="1"/>
  <c r="G947" i="4"/>
  <c r="F947" i="4"/>
  <c r="F946" i="4"/>
  <c r="G946" i="4" s="1"/>
  <c r="G945" i="4"/>
  <c r="F945" i="4"/>
  <c r="F944" i="4"/>
  <c r="G944" i="4" s="1"/>
  <c r="F943" i="4"/>
  <c r="G943" i="4" s="1"/>
  <c r="F942" i="4"/>
  <c r="G942" i="4" s="1"/>
  <c r="G941" i="4"/>
  <c r="F941" i="4"/>
  <c r="G940" i="4"/>
  <c r="F940" i="4"/>
  <c r="G939" i="4"/>
  <c r="F939" i="4"/>
  <c r="G938" i="4"/>
  <c r="F938" i="4"/>
  <c r="F937" i="4"/>
  <c r="G937" i="4" s="1"/>
  <c r="G936" i="4"/>
  <c r="F936" i="4"/>
  <c r="F935" i="4"/>
  <c r="G935" i="4" s="1"/>
  <c r="G934" i="4"/>
  <c r="F934" i="4"/>
  <c r="G933" i="4"/>
  <c r="F933" i="4"/>
  <c r="F932" i="4"/>
  <c r="G932" i="4" s="1"/>
  <c r="F931" i="4"/>
  <c r="G931" i="4" s="1"/>
  <c r="F930" i="4"/>
  <c r="G930" i="4" s="1"/>
  <c r="F929" i="4"/>
  <c r="G929" i="4" s="1"/>
  <c r="F928" i="4"/>
  <c r="G928" i="4" s="1"/>
  <c r="F927" i="4"/>
  <c r="G927" i="4" s="1"/>
  <c r="F926" i="4"/>
  <c r="G926" i="4" s="1"/>
  <c r="F925" i="4"/>
  <c r="G925" i="4" s="1"/>
  <c r="G924" i="4"/>
  <c r="F924" i="4"/>
  <c r="G923" i="4"/>
  <c r="F923" i="4"/>
  <c r="F922" i="4"/>
  <c r="G922" i="4" s="1"/>
  <c r="F921" i="4"/>
  <c r="G921" i="4" s="1"/>
  <c r="G920" i="4"/>
  <c r="F920" i="4"/>
  <c r="F919" i="4"/>
  <c r="G919" i="4" s="1"/>
  <c r="F918" i="4"/>
  <c r="G918" i="4" s="1"/>
  <c r="F917" i="4"/>
  <c r="G917" i="4" s="1"/>
  <c r="F916" i="4"/>
  <c r="G916" i="4" s="1"/>
  <c r="F915" i="4"/>
  <c r="G915" i="4" s="1"/>
  <c r="F914" i="4"/>
  <c r="G914" i="4" s="1"/>
  <c r="F913" i="4"/>
  <c r="G913" i="4" s="1"/>
  <c r="F912" i="4"/>
  <c r="G912" i="4" s="1"/>
  <c r="F911" i="4"/>
  <c r="G911" i="4" s="1"/>
  <c r="G910" i="4"/>
  <c r="F910" i="4"/>
  <c r="G909" i="4"/>
  <c r="F909" i="4"/>
  <c r="G908" i="4"/>
  <c r="F908" i="4"/>
  <c r="F907" i="4"/>
  <c r="G907" i="4" s="1"/>
  <c r="G906" i="4"/>
  <c r="F906" i="4"/>
  <c r="G905" i="4"/>
  <c r="F905" i="4"/>
  <c r="G904" i="4"/>
  <c r="F904" i="4"/>
  <c r="G903" i="4"/>
  <c r="F903" i="4"/>
  <c r="F902" i="4"/>
  <c r="G902" i="4" s="1"/>
  <c r="G901" i="4"/>
  <c r="F901" i="4"/>
  <c r="F900" i="4"/>
  <c r="G900" i="4" s="1"/>
  <c r="G899" i="4"/>
  <c r="F899" i="4"/>
  <c r="F898" i="4"/>
  <c r="G898" i="4" s="1"/>
  <c r="F897" i="4"/>
  <c r="G897" i="4" s="1"/>
  <c r="F896" i="4"/>
  <c r="G896" i="4" s="1"/>
  <c r="F895" i="4"/>
  <c r="G895" i="4" s="1"/>
  <c r="F894" i="4"/>
  <c r="G894" i="4" s="1"/>
  <c r="G893" i="4"/>
  <c r="F893" i="4"/>
  <c r="F892" i="4"/>
  <c r="G892" i="4" s="1"/>
  <c r="F891" i="4"/>
  <c r="G891" i="4" s="1"/>
  <c r="G890" i="4"/>
  <c r="F890" i="4"/>
  <c r="F889" i="4"/>
  <c r="G889" i="4" s="1"/>
  <c r="G888" i="4"/>
  <c r="F888" i="4"/>
  <c r="F887" i="4"/>
  <c r="G887" i="4" s="1"/>
  <c r="F886" i="4"/>
  <c r="G886" i="4" s="1"/>
  <c r="G885" i="4"/>
  <c r="F885" i="4"/>
  <c r="F884" i="4"/>
  <c r="G884" i="4" s="1"/>
  <c r="F883" i="4"/>
  <c r="G883" i="4" s="1"/>
  <c r="F882" i="4"/>
  <c r="G882" i="4" s="1"/>
  <c r="G881" i="4"/>
  <c r="F881" i="4"/>
  <c r="F880" i="4"/>
  <c r="G880" i="4" s="1"/>
  <c r="F879" i="4"/>
  <c r="G879" i="4" s="1"/>
  <c r="F878" i="4"/>
  <c r="G878" i="4" s="1"/>
  <c r="F877" i="4"/>
  <c r="G877" i="4" s="1"/>
  <c r="G876" i="4"/>
  <c r="F876" i="4"/>
  <c r="F875" i="4"/>
  <c r="G875" i="4" s="1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F867" i="4"/>
  <c r="G867" i="4" s="1"/>
  <c r="F866" i="4"/>
  <c r="G866" i="4" s="1"/>
  <c r="F865" i="4"/>
  <c r="G865" i="4" s="1"/>
  <c r="F864" i="4"/>
  <c r="G864" i="4" s="1"/>
  <c r="F863" i="4"/>
  <c r="G863" i="4" s="1"/>
  <c r="F862" i="4"/>
  <c r="G862" i="4" s="1"/>
  <c r="F861" i="4"/>
  <c r="G861" i="4" s="1"/>
  <c r="F860" i="4"/>
  <c r="G860" i="4" s="1"/>
  <c r="F859" i="4"/>
  <c r="G859" i="4" s="1"/>
  <c r="F858" i="4"/>
  <c r="G858" i="4" s="1"/>
  <c r="F857" i="4"/>
  <c r="G857" i="4" s="1"/>
  <c r="F856" i="4"/>
  <c r="G856" i="4" s="1"/>
  <c r="G855" i="4"/>
  <c r="F855" i="4"/>
  <c r="F854" i="4"/>
  <c r="G854" i="4" s="1"/>
  <c r="G853" i="4"/>
  <c r="F853" i="4"/>
  <c r="F852" i="4"/>
  <c r="G852" i="4" s="1"/>
  <c r="F851" i="4"/>
  <c r="G851" i="4" s="1"/>
  <c r="F850" i="4"/>
  <c r="G850" i="4" s="1"/>
  <c r="F849" i="4"/>
  <c r="G849" i="4" s="1"/>
  <c r="F848" i="4"/>
  <c r="G848" i="4" s="1"/>
  <c r="F847" i="4"/>
  <c r="G847" i="4" s="1"/>
  <c r="F846" i="4"/>
  <c r="G846" i="4" s="1"/>
  <c r="G845" i="4"/>
  <c r="F845" i="4"/>
  <c r="G844" i="4"/>
  <c r="F844" i="4"/>
  <c r="F843" i="4"/>
  <c r="G843" i="4" s="1"/>
  <c r="F842" i="4"/>
  <c r="G842" i="4" s="1"/>
  <c r="F841" i="4"/>
  <c r="G841" i="4" s="1"/>
  <c r="F840" i="4"/>
  <c r="G840" i="4" s="1"/>
  <c r="G839" i="4"/>
  <c r="F839" i="4"/>
  <c r="G838" i="4"/>
  <c r="F838" i="4"/>
  <c r="F837" i="4"/>
  <c r="G837" i="4" s="1"/>
  <c r="G836" i="4"/>
  <c r="F836" i="4"/>
  <c r="G835" i="4"/>
  <c r="F835" i="4"/>
  <c r="F834" i="4"/>
  <c r="G834" i="4" s="1"/>
  <c r="F833" i="4"/>
  <c r="G833" i="4" s="1"/>
  <c r="F832" i="4"/>
  <c r="G832" i="4" s="1"/>
  <c r="F831" i="4"/>
  <c r="G831" i="4" s="1"/>
  <c r="F830" i="4"/>
  <c r="G830" i="4" s="1"/>
  <c r="F829" i="4"/>
  <c r="G829" i="4" s="1"/>
  <c r="F828" i="4"/>
  <c r="G828" i="4" s="1"/>
  <c r="F827" i="4"/>
  <c r="G827" i="4" s="1"/>
  <c r="F826" i="4"/>
  <c r="G826" i="4" s="1"/>
  <c r="F825" i="4"/>
  <c r="G825" i="4" s="1"/>
  <c r="F824" i="4"/>
  <c r="G824" i="4" s="1"/>
  <c r="G823" i="4"/>
  <c r="F823" i="4"/>
  <c r="F822" i="4"/>
  <c r="G822" i="4" s="1"/>
  <c r="F821" i="4"/>
  <c r="G821" i="4" s="1"/>
  <c r="F820" i="4"/>
  <c r="G820" i="4" s="1"/>
  <c r="F819" i="4"/>
  <c r="G819" i="4" s="1"/>
  <c r="F818" i="4"/>
  <c r="G818" i="4" s="1"/>
  <c r="G817" i="4"/>
  <c r="F817" i="4"/>
  <c r="F816" i="4"/>
  <c r="G816" i="4" s="1"/>
  <c r="F815" i="4"/>
  <c r="G815" i="4" s="1"/>
  <c r="G814" i="4"/>
  <c r="F814" i="4"/>
  <c r="F813" i="4"/>
  <c r="G813" i="4" s="1"/>
  <c r="G812" i="4"/>
  <c r="F812" i="4"/>
  <c r="F811" i="4"/>
  <c r="G811" i="4" s="1"/>
  <c r="G810" i="4"/>
  <c r="F810" i="4"/>
  <c r="G809" i="4"/>
  <c r="F809" i="4"/>
  <c r="F808" i="4"/>
  <c r="G808" i="4" s="1"/>
  <c r="F807" i="4"/>
  <c r="G807" i="4" s="1"/>
  <c r="G806" i="4"/>
  <c r="F806" i="4"/>
  <c r="G805" i="4"/>
  <c r="F805" i="4"/>
  <c r="G804" i="4"/>
  <c r="F804" i="4"/>
  <c r="G803" i="4"/>
  <c r="F803" i="4"/>
  <c r="F802" i="4"/>
  <c r="G802" i="4" s="1"/>
  <c r="F801" i="4"/>
  <c r="G801" i="4" s="1"/>
  <c r="F800" i="4"/>
  <c r="G800" i="4" s="1"/>
  <c r="F799" i="4"/>
  <c r="G799" i="4" s="1"/>
  <c r="F798" i="4"/>
  <c r="G798" i="4" s="1"/>
  <c r="F797" i="4"/>
  <c r="G797" i="4" s="1"/>
  <c r="G796" i="4"/>
  <c r="F796" i="4"/>
  <c r="F795" i="4"/>
  <c r="G795" i="4" s="1"/>
  <c r="F794" i="4"/>
  <c r="G794" i="4" s="1"/>
  <c r="F793" i="4"/>
  <c r="G793" i="4" s="1"/>
  <c r="F792" i="4"/>
  <c r="G792" i="4" s="1"/>
  <c r="F791" i="4"/>
  <c r="G791" i="4" s="1"/>
  <c r="F790" i="4"/>
  <c r="G790" i="4" s="1"/>
  <c r="F789" i="4"/>
  <c r="G789" i="4" s="1"/>
  <c r="F788" i="4"/>
  <c r="G788" i="4" s="1"/>
  <c r="F787" i="4"/>
  <c r="G787" i="4" s="1"/>
  <c r="F786" i="4"/>
  <c r="G786" i="4" s="1"/>
  <c r="G785" i="4"/>
  <c r="F785" i="4"/>
  <c r="F784" i="4"/>
  <c r="G784" i="4" s="1"/>
  <c r="F783" i="4"/>
  <c r="G783" i="4" s="1"/>
  <c r="F782" i="4"/>
  <c r="G782" i="4" s="1"/>
  <c r="G781" i="4"/>
  <c r="F781" i="4"/>
  <c r="G780" i="4"/>
  <c r="F780" i="4"/>
  <c r="G779" i="4"/>
  <c r="F779" i="4"/>
  <c r="F778" i="4"/>
  <c r="G778" i="4" s="1"/>
  <c r="G777" i="4"/>
  <c r="F777" i="4"/>
  <c r="F776" i="4"/>
  <c r="G776" i="4" s="1"/>
  <c r="G775" i="4"/>
  <c r="F775" i="4"/>
  <c r="G774" i="4"/>
  <c r="F774" i="4"/>
  <c r="F773" i="4"/>
  <c r="G773" i="4" s="1"/>
  <c r="F772" i="4"/>
  <c r="G772" i="4" s="1"/>
  <c r="G771" i="4"/>
  <c r="F771" i="4"/>
  <c r="F770" i="4"/>
  <c r="G770" i="4" s="1"/>
  <c r="G769" i="4"/>
  <c r="F769" i="4"/>
  <c r="F768" i="4"/>
  <c r="G768" i="4" s="1"/>
  <c r="F767" i="4"/>
  <c r="G767" i="4" s="1"/>
  <c r="F766" i="4"/>
  <c r="G766" i="4" s="1"/>
  <c r="F765" i="4"/>
  <c r="G765" i="4" s="1"/>
  <c r="G764" i="4"/>
  <c r="F764" i="4"/>
  <c r="F763" i="4"/>
  <c r="G763" i="4" s="1"/>
  <c r="F762" i="4"/>
  <c r="G762" i="4" s="1"/>
  <c r="G761" i="4"/>
  <c r="F761" i="4"/>
  <c r="F760" i="4"/>
  <c r="G760" i="4" s="1"/>
  <c r="F759" i="4"/>
  <c r="G759" i="4" s="1"/>
  <c r="F758" i="4"/>
  <c r="G758" i="4" s="1"/>
  <c r="F757" i="4"/>
  <c r="G757" i="4" s="1"/>
  <c r="F756" i="4"/>
  <c r="G756" i="4" s="1"/>
  <c r="F755" i="4"/>
  <c r="G755" i="4" s="1"/>
  <c r="F754" i="4"/>
  <c r="G754" i="4" s="1"/>
  <c r="F753" i="4"/>
  <c r="G753" i="4" s="1"/>
  <c r="F752" i="4"/>
  <c r="G752" i="4" s="1"/>
  <c r="F751" i="4"/>
  <c r="G751" i="4" s="1"/>
  <c r="G750" i="4"/>
  <c r="F750" i="4"/>
  <c r="F749" i="4"/>
  <c r="G749" i="4" s="1"/>
  <c r="G748" i="4"/>
  <c r="F748" i="4"/>
  <c r="F747" i="4"/>
  <c r="G747" i="4" s="1"/>
  <c r="G746" i="4"/>
  <c r="F746" i="4"/>
  <c r="G745" i="4"/>
  <c r="F745" i="4"/>
  <c r="G744" i="4"/>
  <c r="F744" i="4"/>
  <c r="F743" i="4"/>
  <c r="G743" i="4" s="1"/>
  <c r="G742" i="4"/>
  <c r="F742" i="4"/>
  <c r="F741" i="4"/>
  <c r="G741" i="4" s="1"/>
  <c r="G740" i="4"/>
  <c r="F740" i="4"/>
  <c r="G739" i="4"/>
  <c r="F739" i="4"/>
  <c r="F738" i="4"/>
  <c r="G738" i="4" s="1"/>
  <c r="F737" i="4"/>
  <c r="G737" i="4" s="1"/>
  <c r="F736" i="4"/>
  <c r="G736" i="4" s="1"/>
  <c r="F735" i="4"/>
  <c r="G735" i="4" s="1"/>
  <c r="F734" i="4"/>
  <c r="G734" i="4" s="1"/>
  <c r="F733" i="4"/>
  <c r="G733" i="4" s="1"/>
  <c r="F732" i="4"/>
  <c r="G732" i="4" s="1"/>
  <c r="G731" i="4"/>
  <c r="F731" i="4"/>
  <c r="F730" i="4"/>
  <c r="G730" i="4" s="1"/>
  <c r="G729" i="4"/>
  <c r="F729" i="4"/>
  <c r="F728" i="4"/>
  <c r="G728" i="4" s="1"/>
  <c r="F727" i="4"/>
  <c r="G727" i="4" s="1"/>
  <c r="G726" i="4"/>
  <c r="F726" i="4"/>
  <c r="F725" i="4"/>
  <c r="G725" i="4" s="1"/>
  <c r="F724" i="4"/>
  <c r="G724" i="4" s="1"/>
  <c r="F723" i="4"/>
  <c r="G723" i="4" s="1"/>
  <c r="F722" i="4"/>
  <c r="G722" i="4" s="1"/>
  <c r="G721" i="4"/>
  <c r="F721" i="4"/>
  <c r="F720" i="4"/>
  <c r="G720" i="4" s="1"/>
  <c r="F719" i="4"/>
  <c r="G719" i="4" s="1"/>
  <c r="F718" i="4"/>
  <c r="G718" i="4" s="1"/>
  <c r="F717" i="4"/>
  <c r="G717" i="4" s="1"/>
  <c r="F716" i="4"/>
  <c r="G716" i="4" s="1"/>
  <c r="G715" i="4"/>
  <c r="F715" i="4"/>
  <c r="G714" i="4"/>
  <c r="F714" i="4"/>
  <c r="F713" i="4"/>
  <c r="G713" i="4" s="1"/>
  <c r="F712" i="4"/>
  <c r="G712" i="4" s="1"/>
  <c r="G711" i="4"/>
  <c r="F711" i="4"/>
  <c r="G710" i="4"/>
  <c r="F710" i="4"/>
  <c r="G709" i="4"/>
  <c r="F709" i="4"/>
  <c r="F708" i="4"/>
  <c r="G708" i="4" s="1"/>
  <c r="G707" i="4"/>
  <c r="F707" i="4"/>
  <c r="F706" i="4"/>
  <c r="G706" i="4" s="1"/>
  <c r="F705" i="4"/>
  <c r="G705" i="4" s="1"/>
  <c r="F704" i="4"/>
  <c r="G704" i="4" s="1"/>
  <c r="F703" i="4"/>
  <c r="G703" i="4" s="1"/>
  <c r="F702" i="4"/>
  <c r="G702" i="4" s="1"/>
  <c r="F701" i="4"/>
  <c r="G701" i="4" s="1"/>
  <c r="F700" i="4"/>
  <c r="G700" i="4" s="1"/>
  <c r="G699" i="4"/>
  <c r="F699" i="4"/>
  <c r="F698" i="4"/>
  <c r="G698" i="4" s="1"/>
  <c r="F697" i="4"/>
  <c r="G697" i="4" s="1"/>
  <c r="G696" i="4"/>
  <c r="F696" i="4"/>
  <c r="F695" i="4"/>
  <c r="G695" i="4" s="1"/>
  <c r="G694" i="4"/>
  <c r="F694" i="4"/>
  <c r="F693" i="4"/>
  <c r="G693" i="4" s="1"/>
  <c r="F692" i="4"/>
  <c r="G692" i="4" s="1"/>
  <c r="G691" i="4"/>
  <c r="F691" i="4"/>
  <c r="F690" i="4"/>
  <c r="G690" i="4" s="1"/>
  <c r="G689" i="4"/>
  <c r="F689" i="4"/>
  <c r="F688" i="4"/>
  <c r="G688" i="4" s="1"/>
  <c r="F687" i="4"/>
  <c r="G687" i="4" s="1"/>
  <c r="G686" i="4"/>
  <c r="F686" i="4"/>
  <c r="G685" i="4"/>
  <c r="F685" i="4"/>
  <c r="F684" i="4"/>
  <c r="G684" i="4" s="1"/>
  <c r="F683" i="4"/>
  <c r="G683" i="4" s="1"/>
  <c r="F682" i="4"/>
  <c r="G682" i="4" s="1"/>
  <c r="F681" i="4"/>
  <c r="G681" i="4" s="1"/>
  <c r="G680" i="4"/>
  <c r="F680" i="4"/>
  <c r="G679" i="4"/>
  <c r="F679" i="4"/>
  <c r="F678" i="4"/>
  <c r="G678" i="4" s="1"/>
  <c r="F677" i="4"/>
  <c r="G677" i="4" s="1"/>
  <c r="G676" i="4"/>
  <c r="F676" i="4"/>
  <c r="G675" i="4"/>
  <c r="F675" i="4"/>
  <c r="F674" i="4"/>
  <c r="G674" i="4" s="1"/>
  <c r="G673" i="4"/>
  <c r="F673" i="4"/>
  <c r="F672" i="4"/>
  <c r="G672" i="4" s="1"/>
  <c r="F671" i="4"/>
  <c r="G671" i="4" s="1"/>
  <c r="F670" i="4"/>
  <c r="G670" i="4" s="1"/>
  <c r="F669" i="4"/>
  <c r="G669" i="4" s="1"/>
  <c r="F668" i="4"/>
  <c r="G668" i="4" s="1"/>
  <c r="F667" i="4"/>
  <c r="G667" i="4" s="1"/>
  <c r="F666" i="4"/>
  <c r="G666" i="4" s="1"/>
  <c r="F665" i="4"/>
  <c r="G665" i="4" s="1"/>
  <c r="G664" i="4"/>
  <c r="F664" i="4"/>
  <c r="F663" i="4"/>
  <c r="G663" i="4" s="1"/>
  <c r="F662" i="4"/>
  <c r="G662" i="4" s="1"/>
  <c r="F661" i="4"/>
  <c r="G661" i="4" s="1"/>
  <c r="F660" i="4"/>
  <c r="G660" i="4" s="1"/>
  <c r="G659" i="4"/>
  <c r="F659" i="4"/>
  <c r="F658" i="4"/>
  <c r="G658" i="4" s="1"/>
  <c r="G657" i="4"/>
  <c r="F657" i="4"/>
  <c r="G656" i="4"/>
  <c r="F656" i="4"/>
  <c r="F655" i="4"/>
  <c r="G655" i="4" s="1"/>
  <c r="G654" i="4"/>
  <c r="F654" i="4"/>
  <c r="F653" i="4"/>
  <c r="G653" i="4" s="1"/>
  <c r="G652" i="4"/>
  <c r="F652" i="4"/>
  <c r="G651" i="4"/>
  <c r="F651" i="4"/>
  <c r="F650" i="4"/>
  <c r="G650" i="4" s="1"/>
  <c r="F649" i="4"/>
  <c r="G649" i="4" s="1"/>
  <c r="F648" i="4"/>
  <c r="G648" i="4" s="1"/>
  <c r="G647" i="4"/>
  <c r="F647" i="4"/>
  <c r="G646" i="4"/>
  <c r="F646" i="4"/>
  <c r="G645" i="4"/>
  <c r="F645" i="4"/>
  <c r="F644" i="4"/>
  <c r="G644" i="4" s="1"/>
  <c r="G643" i="4"/>
  <c r="F643" i="4"/>
  <c r="G642" i="4"/>
  <c r="F642" i="4"/>
  <c r="G641" i="4"/>
  <c r="F641" i="4"/>
  <c r="G640" i="4"/>
  <c r="F640" i="4"/>
  <c r="F639" i="4"/>
  <c r="G639" i="4" s="1"/>
  <c r="G638" i="4"/>
  <c r="F638" i="4"/>
  <c r="F637" i="4"/>
  <c r="G637" i="4" s="1"/>
  <c r="G636" i="4"/>
  <c r="F636" i="4"/>
  <c r="G635" i="4"/>
  <c r="F635" i="4"/>
  <c r="F634" i="4"/>
  <c r="G634" i="4" s="1"/>
  <c r="F633" i="4"/>
  <c r="G633" i="4" s="1"/>
  <c r="F632" i="4"/>
  <c r="G632" i="4" s="1"/>
  <c r="F631" i="4"/>
  <c r="G631" i="4" s="1"/>
  <c r="G630" i="4"/>
  <c r="F630" i="4"/>
  <c r="G629" i="4"/>
  <c r="F629" i="4"/>
  <c r="F628" i="4"/>
  <c r="G628" i="4" s="1"/>
  <c r="G627" i="4"/>
  <c r="F627" i="4"/>
  <c r="G626" i="4"/>
  <c r="F626" i="4"/>
  <c r="G625" i="4"/>
  <c r="F625" i="4"/>
  <c r="G624" i="4"/>
  <c r="F624" i="4"/>
  <c r="F623" i="4"/>
  <c r="G623" i="4" s="1"/>
  <c r="G622" i="4"/>
  <c r="F622" i="4"/>
  <c r="F621" i="4"/>
  <c r="G621" i="4" s="1"/>
  <c r="G620" i="4"/>
  <c r="F620" i="4"/>
  <c r="G619" i="4"/>
  <c r="F619" i="4"/>
  <c r="F618" i="4"/>
  <c r="G618" i="4" s="1"/>
  <c r="F617" i="4"/>
  <c r="G617" i="4" s="1"/>
  <c r="F616" i="4"/>
  <c r="G616" i="4" s="1"/>
  <c r="G615" i="4"/>
  <c r="F615" i="4"/>
  <c r="G614" i="4"/>
  <c r="F614" i="4"/>
  <c r="F613" i="4"/>
  <c r="G613" i="4" s="1"/>
  <c r="F612" i="4"/>
  <c r="G612" i="4" s="1"/>
  <c r="G611" i="4"/>
  <c r="F611" i="4"/>
  <c r="G610" i="4"/>
  <c r="F610" i="4"/>
  <c r="G609" i="4"/>
  <c r="F609" i="4"/>
  <c r="G608" i="4"/>
  <c r="F608" i="4"/>
  <c r="F607" i="4"/>
  <c r="G607" i="4" s="1"/>
  <c r="G606" i="4"/>
  <c r="F606" i="4"/>
  <c r="F605" i="4"/>
  <c r="G605" i="4" s="1"/>
  <c r="G604" i="4"/>
  <c r="F604" i="4"/>
  <c r="G603" i="4"/>
  <c r="F603" i="4"/>
  <c r="F602" i="4"/>
  <c r="G602" i="4" s="1"/>
  <c r="F601" i="4"/>
  <c r="G601" i="4" s="1"/>
  <c r="G600" i="4"/>
  <c r="F600" i="4"/>
  <c r="G599" i="4"/>
  <c r="F599" i="4"/>
  <c r="G598" i="4"/>
  <c r="F598" i="4"/>
  <c r="G597" i="4"/>
  <c r="F597" i="4"/>
  <c r="F596" i="4"/>
  <c r="G596" i="4" s="1"/>
  <c r="F595" i="4"/>
  <c r="G595" i="4" s="1"/>
  <c r="G594" i="4"/>
  <c r="F594" i="4"/>
  <c r="G593" i="4"/>
  <c r="F593" i="4"/>
  <c r="G592" i="4"/>
  <c r="F592" i="4"/>
  <c r="F591" i="4"/>
  <c r="G591" i="4" s="1"/>
  <c r="G590" i="4"/>
  <c r="F590" i="4"/>
  <c r="F589" i="4"/>
  <c r="G589" i="4" s="1"/>
  <c r="G588" i="4"/>
  <c r="F588" i="4"/>
  <c r="G587" i="4"/>
  <c r="F587" i="4"/>
  <c r="F586" i="4"/>
  <c r="G586" i="4" s="1"/>
  <c r="F585" i="4"/>
  <c r="G585" i="4" s="1"/>
  <c r="F584" i="4"/>
  <c r="G584" i="4" s="1"/>
  <c r="G583" i="4"/>
  <c r="F583" i="4"/>
  <c r="G582" i="4"/>
  <c r="F582" i="4"/>
  <c r="G581" i="4"/>
  <c r="F581" i="4"/>
  <c r="F580" i="4"/>
  <c r="G580" i="4" s="1"/>
  <c r="G579" i="4"/>
  <c r="F579" i="4"/>
  <c r="G578" i="4"/>
  <c r="F578" i="4"/>
  <c r="G577" i="4"/>
  <c r="F577" i="4"/>
  <c r="G576" i="4"/>
  <c r="F576" i="4"/>
  <c r="F575" i="4"/>
  <c r="G575" i="4" s="1"/>
  <c r="G574" i="4"/>
  <c r="F574" i="4"/>
  <c r="F573" i="4"/>
  <c r="G573" i="4" s="1"/>
  <c r="G572" i="4"/>
  <c r="F572" i="4"/>
  <c r="G571" i="4"/>
  <c r="F571" i="4"/>
  <c r="F570" i="4"/>
  <c r="G570" i="4" s="1"/>
  <c r="F569" i="4"/>
  <c r="G569" i="4" s="1"/>
  <c r="F568" i="4"/>
  <c r="G568" i="4" s="1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F559" i="4"/>
  <c r="G559" i="4" s="1"/>
  <c r="G558" i="4"/>
  <c r="F558" i="4"/>
  <c r="F557" i="4"/>
  <c r="G557" i="4" s="1"/>
  <c r="G556" i="4"/>
  <c r="F556" i="4"/>
  <c r="G555" i="4"/>
  <c r="F555" i="4"/>
  <c r="F554" i="4"/>
  <c r="G554" i="4" s="1"/>
  <c r="F553" i="4"/>
  <c r="G553" i="4" s="1"/>
  <c r="F552" i="4"/>
  <c r="G552" i="4" s="1"/>
  <c r="G551" i="4"/>
  <c r="F551" i="4"/>
  <c r="G550" i="4"/>
  <c r="F550" i="4"/>
  <c r="G549" i="4"/>
  <c r="F549" i="4"/>
  <c r="F548" i="4"/>
  <c r="G548" i="4" s="1"/>
  <c r="G547" i="4"/>
  <c r="F547" i="4"/>
  <c r="G546" i="4"/>
  <c r="F546" i="4"/>
  <c r="G545" i="4"/>
  <c r="F545" i="4"/>
  <c r="G544" i="4"/>
  <c r="F544" i="4"/>
  <c r="F543" i="4"/>
  <c r="G543" i="4" s="1"/>
  <c r="G542" i="4"/>
  <c r="F542" i="4"/>
  <c r="F541" i="4"/>
  <c r="G541" i="4" s="1"/>
  <c r="G540" i="4"/>
  <c r="F540" i="4"/>
  <c r="G539" i="4"/>
  <c r="F539" i="4"/>
  <c r="F538" i="4"/>
  <c r="G538" i="4" s="1"/>
  <c r="F537" i="4"/>
  <c r="G537" i="4" s="1"/>
  <c r="F536" i="4"/>
  <c r="G536" i="4" s="1"/>
  <c r="G535" i="4"/>
  <c r="F535" i="4"/>
  <c r="G534" i="4"/>
  <c r="F534" i="4"/>
  <c r="G533" i="4"/>
  <c r="F533" i="4"/>
  <c r="F532" i="4"/>
  <c r="G532" i="4" s="1"/>
  <c r="G531" i="4"/>
  <c r="F531" i="4"/>
  <c r="G530" i="4"/>
  <c r="F530" i="4"/>
  <c r="G529" i="4"/>
  <c r="F529" i="4"/>
  <c r="G528" i="4"/>
  <c r="F528" i="4"/>
  <c r="F527" i="4"/>
  <c r="G527" i="4" s="1"/>
  <c r="G526" i="4"/>
  <c r="F526" i="4"/>
  <c r="F525" i="4"/>
  <c r="G525" i="4" s="1"/>
  <c r="G524" i="4"/>
  <c r="F524" i="4"/>
  <c r="G523" i="4"/>
  <c r="F523" i="4"/>
  <c r="F522" i="4"/>
  <c r="G522" i="4" s="1"/>
  <c r="F521" i="4"/>
  <c r="G521" i="4" s="1"/>
  <c r="F520" i="4"/>
  <c r="G520" i="4" s="1"/>
  <c r="G519" i="4"/>
  <c r="F519" i="4"/>
  <c r="G518" i="4"/>
  <c r="F518" i="4"/>
  <c r="G517" i="4"/>
  <c r="F517" i="4"/>
  <c r="F516" i="4"/>
  <c r="G516" i="4" s="1"/>
  <c r="G515" i="4"/>
  <c r="F515" i="4"/>
  <c r="G514" i="4"/>
  <c r="F514" i="4"/>
  <c r="G513" i="4"/>
  <c r="F513" i="4"/>
  <c r="G512" i="4"/>
  <c r="F512" i="4"/>
  <c r="F511" i="4"/>
  <c r="G511" i="4" s="1"/>
  <c r="G510" i="4"/>
  <c r="F510" i="4"/>
  <c r="F509" i="4"/>
  <c r="G509" i="4" s="1"/>
  <c r="G508" i="4"/>
  <c r="F508" i="4"/>
  <c r="G507" i="4"/>
  <c r="F507" i="4"/>
  <c r="F506" i="4"/>
  <c r="G506" i="4" s="1"/>
  <c r="F505" i="4"/>
  <c r="G505" i="4" s="1"/>
  <c r="F504" i="4"/>
  <c r="G504" i="4" s="1"/>
  <c r="F503" i="4"/>
  <c r="G503" i="4" s="1"/>
  <c r="G502" i="4"/>
  <c r="F502" i="4"/>
  <c r="G501" i="4"/>
  <c r="F501" i="4"/>
  <c r="F500" i="4"/>
  <c r="G500" i="4" s="1"/>
  <c r="G499" i="4"/>
  <c r="F499" i="4"/>
  <c r="G498" i="4"/>
  <c r="F498" i="4"/>
  <c r="G497" i="4"/>
  <c r="F497" i="4"/>
  <c r="G496" i="4"/>
  <c r="F496" i="4"/>
  <c r="F495" i="4"/>
  <c r="G495" i="4" s="1"/>
  <c r="G494" i="4"/>
  <c r="F494" i="4"/>
  <c r="F493" i="4"/>
  <c r="G493" i="4" s="1"/>
  <c r="G492" i="4"/>
  <c r="F492" i="4"/>
  <c r="G491" i="4"/>
  <c r="F491" i="4"/>
  <c r="F490" i="4"/>
  <c r="G490" i="4" s="1"/>
  <c r="F489" i="4"/>
  <c r="G489" i="4" s="1"/>
  <c r="F488" i="4"/>
  <c r="G488" i="4" s="1"/>
  <c r="G487" i="4"/>
  <c r="F487" i="4"/>
  <c r="G486" i="4"/>
  <c r="F486" i="4"/>
  <c r="F485" i="4"/>
  <c r="G485" i="4" s="1"/>
  <c r="F484" i="4"/>
  <c r="G484" i="4" s="1"/>
  <c r="G483" i="4"/>
  <c r="F483" i="4"/>
  <c r="G482" i="4"/>
  <c r="F482" i="4"/>
  <c r="G481" i="4"/>
  <c r="F481" i="4"/>
  <c r="G480" i="4"/>
  <c r="F480" i="4"/>
  <c r="F479" i="4"/>
  <c r="G479" i="4" s="1"/>
  <c r="G478" i="4"/>
  <c r="F478" i="4"/>
  <c r="F477" i="4"/>
  <c r="G477" i="4" s="1"/>
  <c r="G476" i="4"/>
  <c r="F476" i="4"/>
  <c r="G475" i="4"/>
  <c r="F475" i="4"/>
  <c r="F474" i="4"/>
  <c r="G474" i="4" s="1"/>
  <c r="F473" i="4"/>
  <c r="G473" i="4" s="1"/>
  <c r="G472" i="4"/>
  <c r="F472" i="4"/>
  <c r="G471" i="4"/>
  <c r="F471" i="4"/>
  <c r="G470" i="4"/>
  <c r="F470" i="4"/>
  <c r="G469" i="4"/>
  <c r="F469" i="4"/>
  <c r="F468" i="4"/>
  <c r="G468" i="4" s="1"/>
  <c r="F467" i="4"/>
  <c r="G467" i="4" s="1"/>
  <c r="G466" i="4"/>
  <c r="F466" i="4"/>
  <c r="G465" i="4"/>
  <c r="F465" i="4"/>
  <c r="G464" i="4"/>
  <c r="F464" i="4"/>
  <c r="F463" i="4"/>
  <c r="G463" i="4" s="1"/>
  <c r="G462" i="4"/>
  <c r="F462" i="4"/>
  <c r="F461" i="4"/>
  <c r="G461" i="4" s="1"/>
  <c r="G460" i="4"/>
  <c r="F460" i="4"/>
  <c r="G459" i="4"/>
  <c r="F459" i="4"/>
  <c r="F458" i="4"/>
  <c r="G458" i="4" s="1"/>
  <c r="F457" i="4"/>
  <c r="G457" i="4" s="1"/>
  <c r="F456" i="4"/>
  <c r="G456" i="4" s="1"/>
  <c r="G455" i="4"/>
  <c r="F455" i="4"/>
  <c r="G454" i="4"/>
  <c r="F454" i="4"/>
  <c r="G453" i="4"/>
  <c r="F453" i="4"/>
  <c r="F452" i="4"/>
  <c r="G452" i="4" s="1"/>
  <c r="G451" i="4"/>
  <c r="F451" i="4"/>
  <c r="G450" i="4"/>
  <c r="F450" i="4"/>
  <c r="G449" i="4"/>
  <c r="F449" i="4"/>
  <c r="G448" i="4"/>
  <c r="F448" i="4"/>
  <c r="F447" i="4"/>
  <c r="G447" i="4" s="1"/>
  <c r="G446" i="4"/>
  <c r="F446" i="4"/>
  <c r="F445" i="4"/>
  <c r="G445" i="4" s="1"/>
  <c r="G444" i="4"/>
  <c r="F444" i="4"/>
  <c r="G443" i="4"/>
  <c r="F443" i="4"/>
  <c r="F442" i="4"/>
  <c r="G442" i="4" s="1"/>
  <c r="F441" i="4"/>
  <c r="G441" i="4" s="1"/>
  <c r="F440" i="4"/>
  <c r="G440" i="4" s="1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F431" i="4"/>
  <c r="G431" i="4" s="1"/>
  <c r="G430" i="4"/>
  <c r="F430" i="4"/>
  <c r="F429" i="4"/>
  <c r="G429" i="4" s="1"/>
  <c r="G428" i="4"/>
  <c r="F428" i="4"/>
  <c r="G427" i="4"/>
  <c r="F427" i="4"/>
  <c r="F426" i="4"/>
  <c r="G426" i="4" s="1"/>
  <c r="F425" i="4"/>
  <c r="G425" i="4" s="1"/>
  <c r="F424" i="4"/>
  <c r="G424" i="4" s="1"/>
  <c r="G423" i="4"/>
  <c r="F423" i="4"/>
  <c r="G422" i="4"/>
  <c r="F422" i="4"/>
  <c r="G421" i="4"/>
  <c r="F421" i="4"/>
  <c r="F420" i="4"/>
  <c r="G420" i="4" s="1"/>
  <c r="G419" i="4"/>
  <c r="F419" i="4"/>
  <c r="G418" i="4"/>
  <c r="F418" i="4"/>
  <c r="G417" i="4"/>
  <c r="F417" i="4"/>
  <c r="G416" i="4"/>
  <c r="F416" i="4"/>
  <c r="F415" i="4"/>
  <c r="G415" i="4" s="1"/>
  <c r="G414" i="4"/>
  <c r="F414" i="4"/>
  <c r="F413" i="4"/>
  <c r="G413" i="4" s="1"/>
  <c r="G412" i="4"/>
  <c r="F412" i="4"/>
  <c r="G411" i="4"/>
  <c r="F411" i="4"/>
  <c r="F410" i="4"/>
  <c r="G410" i="4" s="1"/>
  <c r="F409" i="4"/>
  <c r="G409" i="4" s="1"/>
  <c r="F408" i="4"/>
  <c r="G408" i="4" s="1"/>
  <c r="G407" i="4"/>
  <c r="F407" i="4"/>
  <c r="G406" i="4"/>
  <c r="F406" i="4"/>
  <c r="G405" i="4"/>
  <c r="F405" i="4"/>
  <c r="F404" i="4"/>
  <c r="G404" i="4" s="1"/>
  <c r="G403" i="4"/>
  <c r="F403" i="4"/>
  <c r="G402" i="4"/>
  <c r="F402" i="4"/>
  <c r="G401" i="4"/>
  <c r="F401" i="4"/>
  <c r="G400" i="4"/>
  <c r="F400" i="4"/>
  <c r="F399" i="4"/>
  <c r="G399" i="4" s="1"/>
  <c r="G398" i="4"/>
  <c r="F398" i="4"/>
  <c r="F397" i="4"/>
  <c r="G397" i="4" s="1"/>
  <c r="G396" i="4"/>
  <c r="F396" i="4"/>
  <c r="G395" i="4"/>
  <c r="F395" i="4"/>
  <c r="F394" i="4"/>
  <c r="G394" i="4" s="1"/>
  <c r="F393" i="4"/>
  <c r="G393" i="4" s="1"/>
  <c r="F392" i="4"/>
  <c r="G392" i="4" s="1"/>
  <c r="G391" i="4"/>
  <c r="F391" i="4"/>
  <c r="G390" i="4"/>
  <c r="F390" i="4"/>
  <c r="G389" i="4"/>
  <c r="F389" i="4"/>
  <c r="F388" i="4"/>
  <c r="G388" i="4" s="1"/>
  <c r="G387" i="4"/>
  <c r="F387" i="4"/>
  <c r="G386" i="4"/>
  <c r="F386" i="4"/>
  <c r="G385" i="4"/>
  <c r="F385" i="4"/>
  <c r="G384" i="4"/>
  <c r="F384" i="4"/>
  <c r="F383" i="4"/>
  <c r="G383" i="4" s="1"/>
  <c r="G382" i="4"/>
  <c r="F382" i="4"/>
  <c r="F381" i="4"/>
  <c r="G381" i="4" s="1"/>
  <c r="G380" i="4"/>
  <c r="F380" i="4"/>
  <c r="G379" i="4"/>
  <c r="F379" i="4"/>
  <c r="F378" i="4"/>
  <c r="G378" i="4" s="1"/>
  <c r="F377" i="4"/>
  <c r="G377" i="4" s="1"/>
  <c r="F376" i="4"/>
  <c r="G376" i="4" s="1"/>
  <c r="F375" i="4"/>
  <c r="G375" i="4" s="1"/>
  <c r="G374" i="4"/>
  <c r="F374" i="4"/>
  <c r="G373" i="4"/>
  <c r="F373" i="4"/>
  <c r="F372" i="4"/>
  <c r="G372" i="4" s="1"/>
  <c r="G371" i="4"/>
  <c r="F371" i="4"/>
  <c r="G370" i="4"/>
  <c r="F370" i="4"/>
  <c r="G369" i="4"/>
  <c r="F369" i="4"/>
  <c r="G368" i="4"/>
  <c r="F368" i="4"/>
  <c r="F367" i="4"/>
  <c r="G367" i="4" s="1"/>
  <c r="G366" i="4"/>
  <c r="F366" i="4"/>
  <c r="F365" i="4"/>
  <c r="G365" i="4" s="1"/>
  <c r="G364" i="4"/>
  <c r="F364" i="4"/>
  <c r="G363" i="4"/>
  <c r="F363" i="4"/>
  <c r="F362" i="4"/>
  <c r="G362" i="4" s="1"/>
  <c r="F361" i="4"/>
  <c r="G361" i="4" s="1"/>
  <c r="F360" i="4"/>
  <c r="G360" i="4" s="1"/>
  <c r="G359" i="4"/>
  <c r="F359" i="4"/>
  <c r="G358" i="4"/>
  <c r="F358" i="4"/>
  <c r="F357" i="4"/>
  <c r="G357" i="4" s="1"/>
  <c r="F356" i="4"/>
  <c r="G356" i="4" s="1"/>
  <c r="G355" i="4"/>
  <c r="F355" i="4"/>
  <c r="G354" i="4"/>
  <c r="F354" i="4"/>
  <c r="G353" i="4"/>
  <c r="F353" i="4"/>
  <c r="G352" i="4"/>
  <c r="F352" i="4"/>
  <c r="F351" i="4"/>
  <c r="G351" i="4" s="1"/>
  <c r="G350" i="4"/>
  <c r="F350" i="4"/>
  <c r="F349" i="4"/>
  <c r="G349" i="4" s="1"/>
  <c r="G348" i="4"/>
  <c r="F348" i="4"/>
  <c r="G347" i="4"/>
  <c r="F347" i="4"/>
  <c r="F346" i="4"/>
  <c r="G346" i="4" s="1"/>
  <c r="F345" i="4"/>
  <c r="G345" i="4" s="1"/>
  <c r="G344" i="4"/>
  <c r="F344" i="4"/>
  <c r="G343" i="4"/>
  <c r="F343" i="4"/>
  <c r="G342" i="4"/>
  <c r="F342" i="4"/>
  <c r="G341" i="4"/>
  <c r="F341" i="4"/>
  <c r="F340" i="4"/>
  <c r="G340" i="4" s="1"/>
  <c r="F339" i="4"/>
  <c r="G339" i="4" s="1"/>
  <c r="G338" i="4"/>
  <c r="F338" i="4"/>
  <c r="G337" i="4"/>
  <c r="F337" i="4"/>
  <c r="G336" i="4"/>
  <c r="F336" i="4"/>
  <c r="F335" i="4"/>
  <c r="G335" i="4" s="1"/>
  <c r="G334" i="4"/>
  <c r="F334" i="4"/>
  <c r="F333" i="4"/>
  <c r="G333" i="4" s="1"/>
  <c r="G332" i="4"/>
  <c r="F332" i="4"/>
  <c r="G331" i="4"/>
  <c r="F331" i="4"/>
  <c r="F330" i="4"/>
  <c r="G330" i="4" s="1"/>
  <c r="F329" i="4"/>
  <c r="G329" i="4" s="1"/>
  <c r="F328" i="4"/>
  <c r="G328" i="4" s="1"/>
  <c r="G327" i="4"/>
  <c r="F327" i="4"/>
  <c r="G326" i="4"/>
  <c r="F326" i="4"/>
  <c r="G325" i="4"/>
  <c r="F325" i="4"/>
  <c r="F324" i="4"/>
  <c r="G324" i="4" s="1"/>
  <c r="G323" i="4"/>
  <c r="F323" i="4"/>
  <c r="G322" i="4"/>
  <c r="F322" i="4"/>
  <c r="G321" i="4"/>
  <c r="F321" i="4"/>
  <c r="G320" i="4"/>
  <c r="F320" i="4"/>
  <c r="F319" i="4"/>
  <c r="G319" i="4" s="1"/>
  <c r="G318" i="4"/>
  <c r="F318" i="4"/>
  <c r="F317" i="4"/>
  <c r="G317" i="4" s="1"/>
  <c r="G316" i="4"/>
  <c r="F316" i="4"/>
  <c r="G315" i="4"/>
  <c r="F315" i="4"/>
  <c r="F314" i="4"/>
  <c r="G314" i="4" s="1"/>
  <c r="F313" i="4"/>
  <c r="G313" i="4" s="1"/>
  <c r="F312" i="4"/>
  <c r="G312" i="4" s="1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F303" i="4"/>
  <c r="G303" i="4" s="1"/>
  <c r="G302" i="4"/>
  <c r="F302" i="4"/>
  <c r="F301" i="4"/>
  <c r="G301" i="4" s="1"/>
  <c r="G300" i="4"/>
  <c r="F300" i="4"/>
  <c r="G299" i="4"/>
  <c r="F299" i="4"/>
  <c r="F298" i="4"/>
  <c r="G298" i="4" s="1"/>
  <c r="F297" i="4"/>
  <c r="G297" i="4" s="1"/>
  <c r="F296" i="4"/>
  <c r="G296" i="4" s="1"/>
  <c r="G295" i="4"/>
  <c r="F295" i="4"/>
  <c r="G294" i="4"/>
  <c r="F294" i="4"/>
  <c r="G293" i="4"/>
  <c r="F293" i="4"/>
  <c r="F292" i="4"/>
  <c r="G292" i="4" s="1"/>
  <c r="G291" i="4"/>
  <c r="F291" i="4"/>
  <c r="G290" i="4"/>
  <c r="F290" i="4"/>
  <c r="G289" i="4"/>
  <c r="F289" i="4"/>
  <c r="G288" i="4"/>
  <c r="F288" i="4"/>
  <c r="F287" i="4"/>
  <c r="G287" i="4" s="1"/>
  <c r="G286" i="4"/>
  <c r="F286" i="4"/>
  <c r="F285" i="4"/>
  <c r="G285" i="4" s="1"/>
  <c r="G284" i="4"/>
  <c r="F284" i="4"/>
  <c r="G283" i="4"/>
  <c r="F283" i="4"/>
  <c r="F282" i="4"/>
  <c r="G282" i="4" s="1"/>
  <c r="F281" i="4"/>
  <c r="G281" i="4" s="1"/>
  <c r="F280" i="4"/>
  <c r="G280" i="4" s="1"/>
  <c r="G279" i="4"/>
  <c r="F279" i="4"/>
  <c r="G278" i="4"/>
  <c r="F278" i="4"/>
  <c r="G277" i="4"/>
  <c r="F277" i="4"/>
  <c r="F276" i="4"/>
  <c r="G276" i="4" s="1"/>
  <c r="G275" i="4"/>
  <c r="F275" i="4"/>
  <c r="G274" i="4"/>
  <c r="F274" i="4"/>
  <c r="G273" i="4"/>
  <c r="F273" i="4"/>
  <c r="G272" i="4"/>
  <c r="F272" i="4"/>
  <c r="F271" i="4"/>
  <c r="G271" i="4" s="1"/>
  <c r="G270" i="4"/>
  <c r="F270" i="4"/>
  <c r="F269" i="4"/>
  <c r="G269" i="4" s="1"/>
  <c r="G268" i="4"/>
  <c r="F268" i="4"/>
  <c r="G267" i="4"/>
  <c r="F267" i="4"/>
  <c r="F266" i="4"/>
  <c r="G266" i="4" s="1"/>
  <c r="F265" i="4"/>
  <c r="G265" i="4" s="1"/>
  <c r="F264" i="4"/>
  <c r="G264" i="4" s="1"/>
  <c r="G263" i="4"/>
  <c r="F263" i="4"/>
  <c r="G262" i="4"/>
  <c r="F262" i="4"/>
  <c r="G261" i="4"/>
  <c r="F261" i="4"/>
  <c r="F260" i="4"/>
  <c r="G260" i="4" s="1"/>
  <c r="G259" i="4"/>
  <c r="F259" i="4"/>
  <c r="G258" i="4"/>
  <c r="F258" i="4"/>
  <c r="G257" i="4"/>
  <c r="F257" i="4"/>
  <c r="G256" i="4"/>
  <c r="F256" i="4"/>
  <c r="F255" i="4"/>
  <c r="G255" i="4" s="1"/>
  <c r="G254" i="4"/>
  <c r="F254" i="4"/>
  <c r="F253" i="4"/>
  <c r="G253" i="4" s="1"/>
  <c r="G252" i="4"/>
  <c r="F252" i="4"/>
  <c r="G251" i="4"/>
  <c r="F251" i="4"/>
  <c r="F250" i="4"/>
  <c r="G250" i="4" s="1"/>
  <c r="F249" i="4"/>
  <c r="G249" i="4" s="1"/>
  <c r="F248" i="4"/>
  <c r="G248" i="4" s="1"/>
  <c r="F247" i="4"/>
  <c r="G247" i="4" s="1"/>
  <c r="G246" i="4"/>
  <c r="F246" i="4"/>
  <c r="G245" i="4"/>
  <c r="F245" i="4"/>
  <c r="F244" i="4"/>
  <c r="G244" i="4" s="1"/>
  <c r="G243" i="4"/>
  <c r="F243" i="4"/>
  <c r="G242" i="4"/>
  <c r="F242" i="4"/>
  <c r="G241" i="4"/>
  <c r="F241" i="4"/>
  <c r="G240" i="4"/>
  <c r="F240" i="4"/>
  <c r="F239" i="4"/>
  <c r="G239" i="4" s="1"/>
  <c r="G238" i="4"/>
  <c r="F238" i="4"/>
  <c r="F237" i="4"/>
  <c r="G237" i="4" s="1"/>
  <c r="G236" i="4"/>
  <c r="F236" i="4"/>
  <c r="G235" i="4"/>
  <c r="F235" i="4"/>
  <c r="F234" i="4"/>
  <c r="G234" i="4" s="1"/>
  <c r="F233" i="4"/>
  <c r="G233" i="4" s="1"/>
  <c r="F232" i="4"/>
  <c r="G232" i="4" s="1"/>
  <c r="G231" i="4"/>
  <c r="F231" i="4"/>
  <c r="G230" i="4"/>
  <c r="F230" i="4"/>
  <c r="F229" i="4"/>
  <c r="G229" i="4" s="1"/>
  <c r="F228" i="4"/>
  <c r="G228" i="4" s="1"/>
  <c r="G227" i="4"/>
  <c r="F227" i="4"/>
  <c r="G226" i="4"/>
  <c r="F226" i="4"/>
  <c r="G225" i="4"/>
  <c r="F225" i="4"/>
  <c r="G224" i="4"/>
  <c r="F224" i="4"/>
  <c r="F223" i="4"/>
  <c r="G223" i="4" s="1"/>
  <c r="G222" i="4"/>
  <c r="F222" i="4"/>
  <c r="F221" i="4"/>
  <c r="G221" i="4" s="1"/>
  <c r="G220" i="4"/>
  <c r="F220" i="4"/>
  <c r="G219" i="4"/>
  <c r="F219" i="4"/>
  <c r="F218" i="4"/>
  <c r="G218" i="4" s="1"/>
  <c r="F217" i="4"/>
  <c r="G217" i="4" s="1"/>
  <c r="G216" i="4"/>
  <c r="F216" i="4"/>
  <c r="G215" i="4"/>
  <c r="F215" i="4"/>
  <c r="G214" i="4"/>
  <c r="F214" i="4"/>
  <c r="G213" i="4"/>
  <c r="F213" i="4"/>
  <c r="F212" i="4"/>
  <c r="G212" i="4" s="1"/>
  <c r="F211" i="4"/>
  <c r="G211" i="4" s="1"/>
  <c r="G210" i="4"/>
  <c r="F210" i="4"/>
  <c r="G209" i="4"/>
  <c r="F209" i="4"/>
  <c r="G208" i="4"/>
  <c r="F208" i="4"/>
  <c r="F207" i="4"/>
  <c r="G207" i="4" s="1"/>
  <c r="G206" i="4"/>
  <c r="F206" i="4"/>
  <c r="F205" i="4"/>
  <c r="G205" i="4" s="1"/>
  <c r="G204" i="4"/>
  <c r="F204" i="4"/>
  <c r="G203" i="4"/>
  <c r="F203" i="4"/>
  <c r="F202" i="4"/>
  <c r="G202" i="4" s="1"/>
  <c r="F201" i="4"/>
  <c r="G201" i="4" s="1"/>
  <c r="F200" i="4"/>
  <c r="G200" i="4" s="1"/>
  <c r="G199" i="4"/>
  <c r="F199" i="4"/>
  <c r="G198" i="4"/>
  <c r="F198" i="4"/>
  <c r="G197" i="4"/>
  <c r="F197" i="4"/>
  <c r="F196" i="4"/>
  <c r="G196" i="4" s="1"/>
  <c r="G195" i="4"/>
  <c r="F195" i="4"/>
  <c r="G194" i="4"/>
  <c r="F194" i="4"/>
  <c r="G193" i="4"/>
  <c r="F193" i="4"/>
  <c r="G192" i="4"/>
  <c r="F192" i="4"/>
  <c r="F191" i="4"/>
  <c r="G191" i="4" s="1"/>
  <c r="G190" i="4"/>
  <c r="F190" i="4"/>
  <c r="F189" i="4"/>
  <c r="G189" i="4" s="1"/>
  <c r="G188" i="4"/>
  <c r="F188" i="4"/>
  <c r="G187" i="4"/>
  <c r="F187" i="4"/>
  <c r="F186" i="4"/>
  <c r="G186" i="4" s="1"/>
  <c r="F185" i="4"/>
  <c r="G185" i="4" s="1"/>
  <c r="F184" i="4"/>
  <c r="G184" i="4" s="1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F175" i="4"/>
  <c r="G175" i="4" s="1"/>
  <c r="G174" i="4"/>
  <c r="F174" i="4"/>
  <c r="F173" i="4"/>
  <c r="G173" i="4" s="1"/>
  <c r="G172" i="4"/>
  <c r="F172" i="4"/>
  <c r="G171" i="4"/>
  <c r="F171" i="4"/>
  <c r="F170" i="4"/>
  <c r="G170" i="4" s="1"/>
  <c r="F169" i="4"/>
  <c r="G169" i="4" s="1"/>
  <c r="F168" i="4"/>
  <c r="G168" i="4" s="1"/>
  <c r="G167" i="4"/>
  <c r="F167" i="4"/>
  <c r="G166" i="4"/>
  <c r="F166" i="4"/>
  <c r="G165" i="4"/>
  <c r="F165" i="4"/>
  <c r="F164" i="4"/>
  <c r="G164" i="4" s="1"/>
  <c r="G163" i="4"/>
  <c r="F163" i="4"/>
  <c r="G162" i="4"/>
  <c r="F162" i="4"/>
  <c r="G161" i="4"/>
  <c r="F161" i="4"/>
  <c r="G160" i="4"/>
  <c r="F160" i="4"/>
  <c r="F159" i="4"/>
  <c r="G159" i="4" s="1"/>
  <c r="G158" i="4"/>
  <c r="F158" i="4"/>
  <c r="F157" i="4"/>
  <c r="G157" i="4" s="1"/>
  <c r="G156" i="4"/>
  <c r="F156" i="4"/>
  <c r="G155" i="4"/>
  <c r="F155" i="4"/>
  <c r="F154" i="4"/>
  <c r="G154" i="4" s="1"/>
  <c r="F153" i="4"/>
  <c r="G153" i="4" s="1"/>
  <c r="F152" i="4"/>
  <c r="G152" i="4" s="1"/>
  <c r="G151" i="4"/>
  <c r="F151" i="4"/>
  <c r="G150" i="4"/>
  <c r="F150" i="4"/>
  <c r="G149" i="4"/>
  <c r="F149" i="4"/>
  <c r="F148" i="4"/>
  <c r="G148" i="4" s="1"/>
  <c r="G147" i="4"/>
  <c r="F147" i="4"/>
  <c r="G146" i="4"/>
  <c r="F146" i="4"/>
  <c r="G145" i="4"/>
  <c r="F145" i="4"/>
  <c r="G144" i="4"/>
  <c r="F144" i="4"/>
  <c r="F143" i="4"/>
  <c r="G143" i="4" s="1"/>
  <c r="G142" i="4"/>
  <c r="F142" i="4"/>
  <c r="F141" i="4"/>
  <c r="G141" i="4" s="1"/>
  <c r="G140" i="4"/>
  <c r="F140" i="4"/>
  <c r="G139" i="4"/>
  <c r="F139" i="4"/>
  <c r="F138" i="4"/>
  <c r="G138" i="4" s="1"/>
  <c r="F137" i="4"/>
  <c r="G137" i="4" s="1"/>
  <c r="F136" i="4"/>
  <c r="G136" i="4" s="1"/>
  <c r="G135" i="4"/>
  <c r="F135" i="4"/>
  <c r="G134" i="4"/>
  <c r="F134" i="4"/>
  <c r="G133" i="4"/>
  <c r="F133" i="4"/>
  <c r="F132" i="4"/>
  <c r="G132" i="4" s="1"/>
  <c r="G131" i="4"/>
  <c r="F131" i="4"/>
  <c r="G130" i="4"/>
  <c r="F130" i="4"/>
  <c r="G129" i="4"/>
  <c r="F129" i="4"/>
  <c r="G128" i="4"/>
  <c r="F128" i="4"/>
  <c r="F127" i="4"/>
  <c r="G127" i="4" s="1"/>
  <c r="G126" i="4"/>
  <c r="F126" i="4"/>
  <c r="F125" i="4"/>
  <c r="G125" i="4" s="1"/>
  <c r="G124" i="4"/>
  <c r="F124" i="4"/>
  <c r="G123" i="4"/>
  <c r="F123" i="4"/>
  <c r="F122" i="4"/>
  <c r="G122" i="4" s="1"/>
  <c r="F121" i="4"/>
  <c r="G121" i="4" s="1"/>
  <c r="F120" i="4"/>
  <c r="G120" i="4" s="1"/>
  <c r="F119" i="4"/>
  <c r="G119" i="4" s="1"/>
  <c r="G118" i="4"/>
  <c r="F118" i="4"/>
  <c r="G117" i="4"/>
  <c r="F117" i="4"/>
  <c r="F116" i="4"/>
  <c r="G116" i="4" s="1"/>
  <c r="G115" i="4"/>
  <c r="F115" i="4"/>
  <c r="G114" i="4"/>
  <c r="F114" i="4"/>
  <c r="G113" i="4"/>
  <c r="F113" i="4"/>
  <c r="G112" i="4"/>
  <c r="F112" i="4"/>
  <c r="F111" i="4"/>
  <c r="G111" i="4" s="1"/>
  <c r="G110" i="4"/>
  <c r="F110" i="4"/>
  <c r="F109" i="4"/>
  <c r="G109" i="4" s="1"/>
  <c r="G108" i="4"/>
  <c r="F108" i="4"/>
  <c r="G107" i="4"/>
  <c r="F107" i="4"/>
  <c r="F106" i="4"/>
  <c r="G106" i="4" s="1"/>
  <c r="F105" i="4"/>
  <c r="G105" i="4" s="1"/>
  <c r="F104" i="4"/>
  <c r="G104" i="4" s="1"/>
  <c r="G103" i="4"/>
  <c r="F103" i="4"/>
  <c r="G102" i="4"/>
  <c r="F102" i="4"/>
  <c r="F101" i="4"/>
  <c r="G101" i="4" s="1"/>
  <c r="F100" i="4"/>
  <c r="G100" i="4" s="1"/>
  <c r="G99" i="4"/>
  <c r="F99" i="4"/>
  <c r="G98" i="4"/>
  <c r="F98" i="4"/>
  <c r="G97" i="4"/>
  <c r="F97" i="4"/>
  <c r="G96" i="4"/>
  <c r="F96" i="4"/>
  <c r="F95" i="4"/>
  <c r="G95" i="4" s="1"/>
  <c r="G94" i="4"/>
  <c r="F94" i="4"/>
  <c r="F93" i="4"/>
  <c r="G93" i="4" s="1"/>
  <c r="F92" i="4"/>
  <c r="G92" i="4" s="1"/>
  <c r="G91" i="4"/>
  <c r="F91" i="4"/>
  <c r="F90" i="4"/>
  <c r="G90" i="4" s="1"/>
  <c r="F89" i="4"/>
  <c r="G89" i="4" s="1"/>
  <c r="F88" i="4"/>
  <c r="G88" i="4" s="1"/>
  <c r="F87" i="4"/>
  <c r="G87" i="4" s="1"/>
  <c r="G86" i="4"/>
  <c r="F86" i="4"/>
  <c r="F85" i="4"/>
  <c r="G85" i="4" s="1"/>
  <c r="G84" i="4"/>
  <c r="F84" i="4"/>
  <c r="G83" i="4"/>
  <c r="F83" i="4"/>
  <c r="G82" i="4"/>
  <c r="F82" i="4"/>
  <c r="G81" i="4"/>
  <c r="F81" i="4"/>
  <c r="G80" i="4"/>
  <c r="F80" i="4"/>
  <c r="F79" i="4"/>
  <c r="G79" i="4" s="1"/>
  <c r="G78" i="4"/>
  <c r="F78" i="4"/>
  <c r="F77" i="4"/>
  <c r="G77" i="4" s="1"/>
  <c r="F76" i="4"/>
  <c r="G76" i="4" s="1"/>
  <c r="G75" i="4"/>
  <c r="F75" i="4"/>
  <c r="F74" i="4"/>
  <c r="G74" i="4" s="1"/>
  <c r="F73" i="4"/>
  <c r="G73" i="4" s="1"/>
  <c r="G72" i="4"/>
  <c r="F72" i="4"/>
  <c r="F71" i="4"/>
  <c r="G71" i="4" s="1"/>
  <c r="G70" i="4"/>
  <c r="F70" i="4"/>
  <c r="G69" i="4"/>
  <c r="F69" i="4"/>
  <c r="G68" i="4"/>
  <c r="F68" i="4"/>
  <c r="F67" i="4"/>
  <c r="G67" i="4" s="1"/>
  <c r="G66" i="4"/>
  <c r="F66" i="4"/>
  <c r="G65" i="4"/>
  <c r="F65" i="4"/>
  <c r="G64" i="4"/>
  <c r="F64" i="4"/>
  <c r="F63" i="4"/>
  <c r="G63" i="4" s="1"/>
  <c r="G62" i="4"/>
  <c r="F62" i="4"/>
  <c r="F61" i="4"/>
  <c r="G61" i="4" s="1"/>
  <c r="F60" i="4"/>
  <c r="G60" i="4" s="1"/>
  <c r="G59" i="4"/>
  <c r="F59" i="4"/>
  <c r="F58" i="4"/>
  <c r="G58" i="4" s="1"/>
  <c r="F57" i="4"/>
  <c r="G57" i="4" s="1"/>
  <c r="F56" i="4"/>
  <c r="G56" i="4" s="1"/>
  <c r="F55" i="4"/>
  <c r="G55" i="4" s="1"/>
  <c r="G54" i="4"/>
  <c r="F54" i="4"/>
  <c r="G53" i="4"/>
  <c r="F53" i="4"/>
  <c r="F52" i="4"/>
  <c r="G52" i="4" s="1"/>
  <c r="F51" i="4"/>
  <c r="G51" i="4" s="1"/>
  <c r="G50" i="4"/>
  <c r="F50" i="4"/>
  <c r="G49" i="4"/>
  <c r="F49" i="4"/>
  <c r="G48" i="4"/>
  <c r="F48" i="4"/>
  <c r="F47" i="4"/>
  <c r="G47" i="4" s="1"/>
  <c r="G46" i="4"/>
  <c r="F46" i="4"/>
  <c r="P45" i="4"/>
  <c r="O45" i="4"/>
  <c r="N45" i="4"/>
  <c r="M45" i="4"/>
  <c r="L45" i="4"/>
  <c r="K45" i="4"/>
  <c r="F45" i="4"/>
  <c r="G45" i="4" s="1"/>
  <c r="P44" i="4"/>
  <c r="O44" i="4"/>
  <c r="N44" i="4"/>
  <c r="M44" i="4"/>
  <c r="L44" i="4"/>
  <c r="K44" i="4"/>
  <c r="G44" i="4"/>
  <c r="F44" i="4"/>
  <c r="P43" i="4"/>
  <c r="O43" i="4"/>
  <c r="N43" i="4"/>
  <c r="M43" i="4"/>
  <c r="L43" i="4"/>
  <c r="K43" i="4"/>
  <c r="G43" i="4"/>
  <c r="F43" i="4"/>
  <c r="P42" i="4"/>
  <c r="O42" i="4"/>
  <c r="N42" i="4"/>
  <c r="M42" i="4"/>
  <c r="L42" i="4"/>
  <c r="K42" i="4"/>
  <c r="G42" i="4"/>
  <c r="F42" i="4"/>
  <c r="P41" i="4"/>
  <c r="O41" i="4"/>
  <c r="N41" i="4"/>
  <c r="M41" i="4"/>
  <c r="L41" i="4"/>
  <c r="K41" i="4"/>
  <c r="F41" i="4"/>
  <c r="G41" i="4" s="1"/>
  <c r="P40" i="4"/>
  <c r="O40" i="4"/>
  <c r="N40" i="4"/>
  <c r="M40" i="4"/>
  <c r="L40" i="4"/>
  <c r="K40" i="4"/>
  <c r="G40" i="4"/>
  <c r="F40" i="4"/>
  <c r="P39" i="4"/>
  <c r="O39" i="4"/>
  <c r="N39" i="4"/>
  <c r="M39" i="4"/>
  <c r="L39" i="4"/>
  <c r="K39" i="4"/>
  <c r="G39" i="4"/>
  <c r="F39" i="4"/>
  <c r="P38" i="4"/>
  <c r="O38" i="4"/>
  <c r="N38" i="4"/>
  <c r="M38" i="4"/>
  <c r="L38" i="4"/>
  <c r="K38" i="4"/>
  <c r="G38" i="4"/>
  <c r="F38" i="4"/>
  <c r="P37" i="4"/>
  <c r="O37" i="4"/>
  <c r="N37" i="4"/>
  <c r="M37" i="4"/>
  <c r="L37" i="4"/>
  <c r="K37" i="4"/>
  <c r="F37" i="4"/>
  <c r="G37" i="4" s="1"/>
  <c r="P36" i="4"/>
  <c r="O36" i="4"/>
  <c r="N36" i="4"/>
  <c r="M36" i="4"/>
  <c r="L36" i="4"/>
  <c r="K36" i="4"/>
  <c r="G36" i="4"/>
  <c r="F36" i="4"/>
  <c r="P35" i="4"/>
  <c r="O35" i="4"/>
  <c r="N35" i="4"/>
  <c r="M35" i="4"/>
  <c r="L35" i="4"/>
  <c r="K35" i="4"/>
  <c r="G35" i="4"/>
  <c r="F35" i="4"/>
  <c r="P34" i="4"/>
  <c r="O34" i="4"/>
  <c r="N34" i="4"/>
  <c r="M34" i="4"/>
  <c r="L34" i="4"/>
  <c r="K34" i="4"/>
  <c r="G34" i="4"/>
  <c r="F34" i="4"/>
  <c r="P33" i="4"/>
  <c r="O33" i="4"/>
  <c r="N33" i="4"/>
  <c r="M33" i="4"/>
  <c r="L33" i="4"/>
  <c r="K33" i="4"/>
  <c r="F33" i="4"/>
  <c r="G33" i="4" s="1"/>
  <c r="P32" i="4"/>
  <c r="O32" i="4"/>
  <c r="N32" i="4"/>
  <c r="M32" i="4"/>
  <c r="L32" i="4"/>
  <c r="K32" i="4"/>
  <c r="G32" i="4"/>
  <c r="F32" i="4"/>
  <c r="P31" i="4"/>
  <c r="O31" i="4"/>
  <c r="N31" i="4"/>
  <c r="M31" i="4"/>
  <c r="L31" i="4"/>
  <c r="K31" i="4"/>
  <c r="G31" i="4"/>
  <c r="F31" i="4"/>
  <c r="P30" i="4"/>
  <c r="O30" i="4"/>
  <c r="N30" i="4"/>
  <c r="M30" i="4"/>
  <c r="L30" i="4"/>
  <c r="K30" i="4"/>
  <c r="G30" i="4"/>
  <c r="F30" i="4"/>
  <c r="P29" i="4"/>
  <c r="O29" i="4"/>
  <c r="N29" i="4"/>
  <c r="M29" i="4"/>
  <c r="L29" i="4"/>
  <c r="K29" i="4"/>
  <c r="F29" i="4"/>
  <c r="G29" i="4" s="1"/>
  <c r="P28" i="4"/>
  <c r="O28" i="4"/>
  <c r="N28" i="4"/>
  <c r="M28" i="4"/>
  <c r="L28" i="4"/>
  <c r="K28" i="4"/>
  <c r="G28" i="4"/>
  <c r="F28" i="4"/>
  <c r="P27" i="4"/>
  <c r="O27" i="4"/>
  <c r="N27" i="4"/>
  <c r="M27" i="4"/>
  <c r="L27" i="4"/>
  <c r="K27" i="4"/>
  <c r="G27" i="4"/>
  <c r="F27" i="4"/>
  <c r="P26" i="4"/>
  <c r="O26" i="4"/>
  <c r="N26" i="4"/>
  <c r="M26" i="4"/>
  <c r="L26" i="4"/>
  <c r="K26" i="4"/>
  <c r="G26" i="4"/>
  <c r="F26" i="4"/>
  <c r="P25" i="4"/>
  <c r="O25" i="4"/>
  <c r="N25" i="4"/>
  <c r="M25" i="4"/>
  <c r="L25" i="4"/>
  <c r="K25" i="4"/>
  <c r="F25" i="4"/>
  <c r="G25" i="4" s="1"/>
  <c r="P24" i="4"/>
  <c r="O24" i="4"/>
  <c r="N24" i="4"/>
  <c r="M24" i="4"/>
  <c r="L24" i="4"/>
  <c r="K24" i="4"/>
  <c r="G24" i="4"/>
  <c r="F24" i="4"/>
  <c r="P23" i="4"/>
  <c r="O23" i="4"/>
  <c r="N23" i="4"/>
  <c r="M23" i="4"/>
  <c r="L23" i="4"/>
  <c r="K23" i="4"/>
  <c r="G23" i="4"/>
  <c r="F23" i="4"/>
  <c r="P22" i="4"/>
  <c r="O22" i="4"/>
  <c r="N22" i="4"/>
  <c r="M22" i="4"/>
  <c r="L22" i="4"/>
  <c r="K22" i="4"/>
  <c r="F22" i="4"/>
  <c r="G22" i="4" s="1"/>
  <c r="P21" i="4"/>
  <c r="O21" i="4"/>
  <c r="N21" i="4"/>
  <c r="M21" i="4"/>
  <c r="L21" i="4"/>
  <c r="K21" i="4"/>
  <c r="F21" i="4"/>
  <c r="G21" i="4" s="1"/>
  <c r="P20" i="4"/>
  <c r="O20" i="4"/>
  <c r="N20" i="4"/>
  <c r="M20" i="4"/>
  <c r="L20" i="4"/>
  <c r="K20" i="4"/>
  <c r="G20" i="4"/>
  <c r="F20" i="4"/>
  <c r="P19" i="4"/>
  <c r="O19" i="4"/>
  <c r="N19" i="4"/>
  <c r="M19" i="4"/>
  <c r="L19" i="4"/>
  <c r="K19" i="4"/>
  <c r="G19" i="4"/>
  <c r="F19" i="4"/>
  <c r="P18" i="4"/>
  <c r="O18" i="4"/>
  <c r="N18" i="4"/>
  <c r="M18" i="4"/>
  <c r="L18" i="4"/>
  <c r="K18" i="4"/>
  <c r="G18" i="4"/>
  <c r="F18" i="4"/>
  <c r="P17" i="4"/>
  <c r="O17" i="4"/>
  <c r="N17" i="4"/>
  <c r="M17" i="4"/>
  <c r="L17" i="4"/>
  <c r="K17" i="4"/>
  <c r="F17" i="4"/>
  <c r="G17" i="4" s="1"/>
  <c r="P16" i="4"/>
  <c r="O16" i="4"/>
  <c r="N16" i="4"/>
  <c r="M16" i="4"/>
  <c r="L16" i="4"/>
  <c r="K16" i="4"/>
  <c r="G16" i="4"/>
  <c r="F16" i="4"/>
  <c r="P15" i="4"/>
  <c r="O15" i="4"/>
  <c r="N15" i="4"/>
  <c r="M15" i="4"/>
  <c r="L15" i="4"/>
  <c r="K15" i="4"/>
  <c r="G15" i="4"/>
  <c r="F15" i="4"/>
  <c r="P14" i="4"/>
  <c r="O14" i="4"/>
  <c r="N14" i="4"/>
  <c r="M14" i="4"/>
  <c r="L14" i="4"/>
  <c r="K14" i="4"/>
  <c r="G14" i="4"/>
  <c r="F14" i="4"/>
  <c r="P13" i="4"/>
  <c r="O13" i="4"/>
  <c r="N13" i="4"/>
  <c r="M13" i="4"/>
  <c r="L13" i="4"/>
  <c r="K13" i="4"/>
  <c r="F13" i="4"/>
  <c r="G13" i="4" s="1"/>
  <c r="P12" i="4"/>
  <c r="O12" i="4"/>
  <c r="N12" i="4"/>
  <c r="M12" i="4"/>
  <c r="L12" i="4"/>
  <c r="K12" i="4"/>
  <c r="G12" i="4"/>
  <c r="F12" i="4"/>
  <c r="P11" i="4"/>
  <c r="O11" i="4"/>
  <c r="N11" i="4"/>
  <c r="M11" i="4"/>
  <c r="L11" i="4"/>
  <c r="K11" i="4"/>
  <c r="G11" i="4"/>
  <c r="F11" i="4"/>
  <c r="P10" i="4"/>
  <c r="O10" i="4"/>
  <c r="N10" i="4"/>
  <c r="M10" i="4"/>
  <c r="L10" i="4"/>
  <c r="K10" i="4"/>
  <c r="G10" i="4"/>
  <c r="F10" i="4"/>
  <c r="P9" i="4"/>
  <c r="O9" i="4"/>
  <c r="N9" i="4"/>
  <c r="M9" i="4"/>
  <c r="L9" i="4"/>
  <c r="K9" i="4"/>
  <c r="F9" i="4"/>
  <c r="G9" i="4" s="1"/>
  <c r="P8" i="4"/>
  <c r="O8" i="4"/>
  <c r="N8" i="4"/>
  <c r="M8" i="4"/>
  <c r="L8" i="4"/>
  <c r="K8" i="4"/>
  <c r="G8" i="4"/>
  <c r="F8" i="4"/>
  <c r="P7" i="4"/>
  <c r="O7" i="4"/>
  <c r="N7" i="4"/>
  <c r="M7" i="4"/>
  <c r="L7" i="4"/>
  <c r="K7" i="4"/>
  <c r="G7" i="4"/>
  <c r="F7" i="4"/>
  <c r="P6" i="4"/>
  <c r="O6" i="4"/>
  <c r="N6" i="4"/>
  <c r="M6" i="4"/>
  <c r="L6" i="4"/>
  <c r="K6" i="4"/>
  <c r="G6" i="4"/>
  <c r="F6" i="4"/>
  <c r="F5" i="4"/>
  <c r="G5" i="4" s="1"/>
  <c r="F4" i="4"/>
  <c r="G4" i="4" s="1"/>
  <c r="G3" i="4"/>
  <c r="F3" i="4"/>
  <c r="F2" i="4"/>
  <c r="G2" i="4" s="1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B16" i="1"/>
  <c r="B15" i="1"/>
  <c r="B14" i="1"/>
  <c r="B13" i="1"/>
  <c r="B12" i="1"/>
  <c r="B11" i="1"/>
  <c r="BB45" i="5"/>
  <c r="BA45" i="5"/>
  <c r="AZ45" i="5"/>
  <c r="AY45" i="5"/>
  <c r="AX45" i="5"/>
  <c r="AU45" i="5"/>
  <c r="AT45" i="5"/>
  <c r="AW45" i="5" s="1"/>
  <c r="AS45" i="5"/>
  <c r="J45" i="2" s="1"/>
  <c r="AR45" i="5"/>
  <c r="I45" i="2" s="1"/>
  <c r="AQ45" i="5"/>
  <c r="K45" i="2" s="1"/>
  <c r="AP45" i="5"/>
  <c r="AO45" i="5"/>
  <c r="AN45" i="5"/>
  <c r="AM45" i="5"/>
  <c r="AL45" i="5"/>
  <c r="H45" i="2" s="1"/>
  <c r="AK45" i="5"/>
  <c r="AG45" i="5"/>
  <c r="AF45" i="5"/>
  <c r="AI45" i="5" s="1"/>
  <c r="AE45" i="5"/>
  <c r="Z45" i="5"/>
  <c r="AA45" i="5" s="1"/>
  <c r="F45" i="2" s="1"/>
  <c r="Y45" i="5"/>
  <c r="X45" i="5"/>
  <c r="W45" i="5"/>
  <c r="V45" i="5"/>
  <c r="U45" i="5"/>
  <c r="T45" i="5"/>
  <c r="S45" i="5"/>
  <c r="R45" i="5"/>
  <c r="P45" i="5"/>
  <c r="O45" i="5"/>
  <c r="N45" i="5"/>
  <c r="M45" i="5"/>
  <c r="Q45" i="5" s="1"/>
  <c r="I45" i="5"/>
  <c r="L45" i="5" s="1"/>
  <c r="BB44" i="5"/>
  <c r="BA44" i="5"/>
  <c r="AZ44" i="5"/>
  <c r="AY44" i="5"/>
  <c r="AX44" i="5"/>
  <c r="AW44" i="5"/>
  <c r="AU44" i="5"/>
  <c r="AT44" i="5"/>
  <c r="AV44" i="5" s="1"/>
  <c r="AS44" i="5"/>
  <c r="J44" i="2" s="1"/>
  <c r="AR44" i="5"/>
  <c r="I44" i="2" s="1"/>
  <c r="AQ44" i="5"/>
  <c r="K44" i="2" s="1"/>
  <c r="AP44" i="5"/>
  <c r="AO44" i="5"/>
  <c r="AN44" i="5"/>
  <c r="AM44" i="5"/>
  <c r="AL44" i="5"/>
  <c r="H44" i="2" s="1"/>
  <c r="AK44" i="5"/>
  <c r="AF44" i="5"/>
  <c r="AI44" i="5" s="1"/>
  <c r="AE44" i="5"/>
  <c r="Z44" i="5"/>
  <c r="Y44" i="5"/>
  <c r="X44" i="5"/>
  <c r="W44" i="5"/>
  <c r="V44" i="5"/>
  <c r="U44" i="5"/>
  <c r="T44" i="5"/>
  <c r="S44" i="5"/>
  <c r="R44" i="5"/>
  <c r="P44" i="5"/>
  <c r="O44" i="5"/>
  <c r="N44" i="5"/>
  <c r="M44" i="5"/>
  <c r="Q44" i="5" s="1"/>
  <c r="I44" i="5"/>
  <c r="K44" i="5" s="1"/>
  <c r="BB43" i="5"/>
  <c r="BA43" i="5"/>
  <c r="AZ43" i="5"/>
  <c r="AY43" i="5"/>
  <c r="AX43" i="5"/>
  <c r="AU43" i="5"/>
  <c r="AT43" i="5"/>
  <c r="AS43" i="5"/>
  <c r="J43" i="2" s="1"/>
  <c r="AR43" i="5"/>
  <c r="I43" i="2" s="1"/>
  <c r="AQ43" i="5"/>
  <c r="K43" i="2" s="1"/>
  <c r="AP43" i="5"/>
  <c r="AO43" i="5"/>
  <c r="AN43" i="5"/>
  <c r="AM43" i="5"/>
  <c r="AL43" i="5"/>
  <c r="H43" i="2" s="1"/>
  <c r="AK43" i="5"/>
  <c r="AJ43" i="5"/>
  <c r="AG43" i="5"/>
  <c r="AF43" i="5"/>
  <c r="AH43" i="5" s="1"/>
  <c r="AE43" i="5"/>
  <c r="Z43" i="5"/>
  <c r="E43" i="2" s="1"/>
  <c r="Y43" i="5"/>
  <c r="X43" i="5"/>
  <c r="W43" i="5"/>
  <c r="V43" i="5"/>
  <c r="U43" i="5"/>
  <c r="T43" i="5"/>
  <c r="S43" i="5"/>
  <c r="R43" i="5"/>
  <c r="P43" i="5"/>
  <c r="O43" i="5"/>
  <c r="N43" i="5"/>
  <c r="M43" i="5"/>
  <c r="Q43" i="5" s="1"/>
  <c r="I43" i="5"/>
  <c r="L43" i="5" s="1"/>
  <c r="BB42" i="5"/>
  <c r="BA42" i="5"/>
  <c r="AZ42" i="5"/>
  <c r="AY42" i="5"/>
  <c r="AX42" i="5"/>
  <c r="AU42" i="5"/>
  <c r="AT42" i="5"/>
  <c r="AV42" i="5" s="1"/>
  <c r="AS42" i="5"/>
  <c r="J42" i="2" s="1"/>
  <c r="AR42" i="5"/>
  <c r="I42" i="2" s="1"/>
  <c r="AQ42" i="5"/>
  <c r="K42" i="2" s="1"/>
  <c r="AP42" i="5"/>
  <c r="AO42" i="5"/>
  <c r="AN42" i="5"/>
  <c r="AM42" i="5"/>
  <c r="AL42" i="5"/>
  <c r="H42" i="2" s="1"/>
  <c r="AK42" i="5"/>
  <c r="AG42" i="5"/>
  <c r="AF42" i="5"/>
  <c r="AI42" i="5" s="1"/>
  <c r="AE42" i="5"/>
  <c r="AJ42" i="5" s="1"/>
  <c r="Z42" i="5"/>
  <c r="E42" i="2" s="1"/>
  <c r="Y42" i="5"/>
  <c r="X42" i="5"/>
  <c r="W42" i="5"/>
  <c r="V42" i="5"/>
  <c r="U42" i="5"/>
  <c r="T42" i="5"/>
  <c r="S42" i="5"/>
  <c r="R42" i="5"/>
  <c r="P42" i="5"/>
  <c r="O42" i="5"/>
  <c r="N42" i="5"/>
  <c r="M42" i="5"/>
  <c r="Q42" i="5" s="1"/>
  <c r="I42" i="5"/>
  <c r="BB41" i="5"/>
  <c r="BA41" i="5"/>
  <c r="AZ41" i="5"/>
  <c r="AY41" i="5"/>
  <c r="AX41" i="5"/>
  <c r="AU41" i="5"/>
  <c r="AT41" i="5"/>
  <c r="AV41" i="5" s="1"/>
  <c r="AS41" i="5"/>
  <c r="J41" i="2" s="1"/>
  <c r="AR41" i="5"/>
  <c r="I41" i="2" s="1"/>
  <c r="AQ41" i="5"/>
  <c r="K41" i="2" s="1"/>
  <c r="AP41" i="5"/>
  <c r="AO41" i="5"/>
  <c r="AN41" i="5"/>
  <c r="AM41" i="5"/>
  <c r="AL41" i="5"/>
  <c r="H41" i="2" s="1"/>
  <c r="AK41" i="5"/>
  <c r="AJ41" i="5"/>
  <c r="AG41" i="5"/>
  <c r="AF41" i="5"/>
  <c r="AI41" i="5" s="1"/>
  <c r="AE41" i="5"/>
  <c r="Z41" i="5"/>
  <c r="AA41" i="5" s="1"/>
  <c r="Y41" i="5"/>
  <c r="X41" i="5"/>
  <c r="W41" i="5"/>
  <c r="V41" i="5"/>
  <c r="U41" i="5"/>
  <c r="T41" i="5"/>
  <c r="S41" i="5"/>
  <c r="R41" i="5"/>
  <c r="P41" i="5"/>
  <c r="O41" i="5"/>
  <c r="N41" i="5"/>
  <c r="M41" i="5"/>
  <c r="Q41" i="5" s="1"/>
  <c r="I41" i="5"/>
  <c r="L41" i="5" s="1"/>
  <c r="BB40" i="5"/>
  <c r="BA40" i="5"/>
  <c r="AZ40" i="5"/>
  <c r="AY40" i="5"/>
  <c r="AX40" i="5"/>
  <c r="AU40" i="5"/>
  <c r="AT40" i="5"/>
  <c r="AW40" i="5" s="1"/>
  <c r="AS40" i="5"/>
  <c r="J40" i="2" s="1"/>
  <c r="AR40" i="5"/>
  <c r="I40" i="2" s="1"/>
  <c r="AQ40" i="5"/>
  <c r="K40" i="2" s="1"/>
  <c r="AP40" i="5"/>
  <c r="AO40" i="5"/>
  <c r="AN40" i="5"/>
  <c r="AM40" i="5"/>
  <c r="AL40" i="5"/>
  <c r="H40" i="2" s="1"/>
  <c r="AK40" i="5"/>
  <c r="AG40" i="5"/>
  <c r="AF40" i="5"/>
  <c r="AI40" i="5" s="1"/>
  <c r="AE40" i="5"/>
  <c r="Z40" i="5"/>
  <c r="E40" i="2" s="1"/>
  <c r="Y40" i="5"/>
  <c r="X40" i="5"/>
  <c r="W40" i="5"/>
  <c r="V40" i="5"/>
  <c r="U40" i="5"/>
  <c r="T40" i="5"/>
  <c r="S40" i="5"/>
  <c r="R40" i="5"/>
  <c r="P40" i="5"/>
  <c r="O40" i="5"/>
  <c r="N40" i="5"/>
  <c r="M40" i="5"/>
  <c r="Q40" i="5" s="1"/>
  <c r="I40" i="5"/>
  <c r="K40" i="5" s="1"/>
  <c r="BB39" i="5"/>
  <c r="BA39" i="5"/>
  <c r="AZ39" i="5"/>
  <c r="AY39" i="5"/>
  <c r="AX39" i="5"/>
  <c r="AU39" i="5"/>
  <c r="AT39" i="5"/>
  <c r="AW39" i="5" s="1"/>
  <c r="AS39" i="5"/>
  <c r="J39" i="2" s="1"/>
  <c r="AR39" i="5"/>
  <c r="I39" i="2" s="1"/>
  <c r="AQ39" i="5"/>
  <c r="K39" i="2" s="1"/>
  <c r="AP39" i="5"/>
  <c r="AO39" i="5"/>
  <c r="AN39" i="5"/>
  <c r="AM39" i="5"/>
  <c r="AL39" i="5"/>
  <c r="H39" i="2" s="1"/>
  <c r="AK39" i="5"/>
  <c r="AG39" i="5"/>
  <c r="AF39" i="5"/>
  <c r="AI39" i="5" s="1"/>
  <c r="AE39" i="5"/>
  <c r="AJ39" i="5" s="1"/>
  <c r="Z39" i="5"/>
  <c r="E39" i="2" s="1"/>
  <c r="Y39" i="5"/>
  <c r="X39" i="5"/>
  <c r="W39" i="5"/>
  <c r="V39" i="5"/>
  <c r="U39" i="5"/>
  <c r="T39" i="5"/>
  <c r="S39" i="5"/>
  <c r="R39" i="5"/>
  <c r="P39" i="5"/>
  <c r="O39" i="5"/>
  <c r="N39" i="5"/>
  <c r="M39" i="5"/>
  <c r="Q39" i="5" s="1"/>
  <c r="I39" i="5"/>
  <c r="L39" i="5" s="1"/>
  <c r="BB38" i="5"/>
  <c r="BA38" i="5"/>
  <c r="AZ38" i="5"/>
  <c r="AY38" i="5"/>
  <c r="AX38" i="5"/>
  <c r="AU38" i="5"/>
  <c r="AT38" i="5"/>
  <c r="AW38" i="5" s="1"/>
  <c r="AS38" i="5"/>
  <c r="J38" i="2" s="1"/>
  <c r="AR38" i="5"/>
  <c r="I38" i="2" s="1"/>
  <c r="AQ38" i="5"/>
  <c r="K38" i="2" s="1"/>
  <c r="AP38" i="5"/>
  <c r="AO38" i="5"/>
  <c r="AN38" i="5"/>
  <c r="AM38" i="5"/>
  <c r="AL38" i="5"/>
  <c r="H38" i="2" s="1"/>
  <c r="AK38" i="5"/>
  <c r="AJ38" i="5"/>
  <c r="AG38" i="5"/>
  <c r="AF38" i="5"/>
  <c r="AI38" i="5" s="1"/>
  <c r="AE38" i="5"/>
  <c r="Z38" i="5"/>
  <c r="E38" i="2" s="1"/>
  <c r="Y38" i="5"/>
  <c r="X38" i="5"/>
  <c r="W38" i="5"/>
  <c r="V38" i="5"/>
  <c r="U38" i="5"/>
  <c r="T38" i="5"/>
  <c r="S38" i="5"/>
  <c r="R38" i="5"/>
  <c r="P38" i="5"/>
  <c r="O38" i="5"/>
  <c r="N38" i="5"/>
  <c r="M38" i="5"/>
  <c r="Q38" i="5" s="1"/>
  <c r="I38" i="5"/>
  <c r="K38" i="5" s="1"/>
  <c r="BB37" i="5"/>
  <c r="BA37" i="5"/>
  <c r="AZ37" i="5"/>
  <c r="AY37" i="5"/>
  <c r="AX37" i="5"/>
  <c r="AU37" i="5"/>
  <c r="AT37" i="5"/>
  <c r="AW37" i="5" s="1"/>
  <c r="AS37" i="5"/>
  <c r="J37" i="2" s="1"/>
  <c r="AR37" i="5"/>
  <c r="I37" i="2" s="1"/>
  <c r="AQ37" i="5"/>
  <c r="K37" i="2" s="1"/>
  <c r="AP37" i="5"/>
  <c r="AO37" i="5"/>
  <c r="AN37" i="5"/>
  <c r="AM37" i="5"/>
  <c r="AL37" i="5"/>
  <c r="H37" i="2" s="1"/>
  <c r="AK37" i="5"/>
  <c r="AJ37" i="5"/>
  <c r="AG37" i="5"/>
  <c r="AF37" i="5"/>
  <c r="AI37" i="5" s="1"/>
  <c r="AE37" i="5"/>
  <c r="Z37" i="5"/>
  <c r="E37" i="2" s="1"/>
  <c r="Y37" i="5"/>
  <c r="X37" i="5"/>
  <c r="W37" i="5"/>
  <c r="V37" i="5"/>
  <c r="U37" i="5"/>
  <c r="T37" i="5"/>
  <c r="S37" i="5"/>
  <c r="R37" i="5"/>
  <c r="P37" i="5"/>
  <c r="O37" i="5"/>
  <c r="N37" i="5"/>
  <c r="M37" i="5"/>
  <c r="Q37" i="5" s="1"/>
  <c r="I37" i="5"/>
  <c r="L37" i="5" s="1"/>
  <c r="BB36" i="5"/>
  <c r="BA36" i="5"/>
  <c r="AZ36" i="5"/>
  <c r="AY36" i="5"/>
  <c r="AX36" i="5"/>
  <c r="AW36" i="5"/>
  <c r="AV36" i="5"/>
  <c r="AU36" i="5"/>
  <c r="AT36" i="5"/>
  <c r="AS36" i="5"/>
  <c r="J36" i="2" s="1"/>
  <c r="AR36" i="5"/>
  <c r="I36" i="2" s="1"/>
  <c r="AQ36" i="5"/>
  <c r="K36" i="2" s="1"/>
  <c r="AP36" i="5"/>
  <c r="AO36" i="5"/>
  <c r="AN36" i="5"/>
  <c r="AM36" i="5"/>
  <c r="AL36" i="5"/>
  <c r="H36" i="2" s="1"/>
  <c r="AK36" i="5"/>
  <c r="AJ36" i="5"/>
  <c r="AG36" i="5"/>
  <c r="AF36" i="5"/>
  <c r="AI36" i="5" s="1"/>
  <c r="AE36" i="5"/>
  <c r="Z36" i="5"/>
  <c r="AA36" i="5" s="1"/>
  <c r="AC36" i="5" s="1"/>
  <c r="Y36" i="5"/>
  <c r="X36" i="5"/>
  <c r="W36" i="5"/>
  <c r="V36" i="5"/>
  <c r="U36" i="5"/>
  <c r="T36" i="5"/>
  <c r="S36" i="5"/>
  <c r="R36" i="5"/>
  <c r="P36" i="5"/>
  <c r="O36" i="5"/>
  <c r="N36" i="5"/>
  <c r="M36" i="5"/>
  <c r="Q36" i="5" s="1"/>
  <c r="I36" i="5"/>
  <c r="K36" i="5" s="1"/>
  <c r="BB35" i="5"/>
  <c r="BA35" i="5"/>
  <c r="AZ35" i="5"/>
  <c r="AY35" i="5"/>
  <c r="AX35" i="5"/>
  <c r="AW35" i="5"/>
  <c r="AV35" i="5"/>
  <c r="AU35" i="5"/>
  <c r="AT35" i="5"/>
  <c r="AS35" i="5"/>
  <c r="J35" i="2" s="1"/>
  <c r="AR35" i="5"/>
  <c r="I35" i="2" s="1"/>
  <c r="AQ35" i="5"/>
  <c r="K35" i="2" s="1"/>
  <c r="AP35" i="5"/>
  <c r="AO35" i="5"/>
  <c r="AN35" i="5"/>
  <c r="AM35" i="5"/>
  <c r="AL35" i="5"/>
  <c r="H35" i="2" s="1"/>
  <c r="AK35" i="5"/>
  <c r="AG35" i="5"/>
  <c r="AF35" i="5"/>
  <c r="AI35" i="5" s="1"/>
  <c r="AE35" i="5"/>
  <c r="Z35" i="5"/>
  <c r="E35" i="2" s="1"/>
  <c r="Y35" i="5"/>
  <c r="X35" i="5"/>
  <c r="W35" i="5"/>
  <c r="V35" i="5"/>
  <c r="U35" i="5"/>
  <c r="T35" i="5"/>
  <c r="S35" i="5"/>
  <c r="R35" i="5"/>
  <c r="P35" i="5"/>
  <c r="O35" i="5"/>
  <c r="N35" i="5"/>
  <c r="M35" i="5"/>
  <c r="Q35" i="5" s="1"/>
  <c r="I35" i="5"/>
  <c r="K35" i="5" s="1"/>
  <c r="BB34" i="5"/>
  <c r="BA34" i="5"/>
  <c r="AZ34" i="5"/>
  <c r="AY34" i="5"/>
  <c r="AX34" i="5"/>
  <c r="AU34" i="5"/>
  <c r="AT34" i="5"/>
  <c r="AS34" i="5"/>
  <c r="J34" i="2" s="1"/>
  <c r="AR34" i="5"/>
  <c r="I34" i="2" s="1"/>
  <c r="AQ34" i="5"/>
  <c r="K34" i="2" s="1"/>
  <c r="AP34" i="5"/>
  <c r="AO34" i="5"/>
  <c r="AN34" i="5"/>
  <c r="AM34" i="5"/>
  <c r="AL34" i="5"/>
  <c r="H34" i="2" s="1"/>
  <c r="AK34" i="5"/>
  <c r="AJ34" i="5"/>
  <c r="AG34" i="5"/>
  <c r="AF34" i="5"/>
  <c r="AI34" i="5" s="1"/>
  <c r="AE34" i="5"/>
  <c r="Z34" i="5"/>
  <c r="AA34" i="5" s="1"/>
  <c r="Y34" i="5"/>
  <c r="X34" i="5"/>
  <c r="W34" i="5"/>
  <c r="V34" i="5"/>
  <c r="U34" i="5"/>
  <c r="T34" i="5"/>
  <c r="S34" i="5"/>
  <c r="R34" i="5"/>
  <c r="P34" i="5"/>
  <c r="O34" i="5"/>
  <c r="N34" i="5"/>
  <c r="M34" i="5"/>
  <c r="Q34" i="5" s="1"/>
  <c r="I34" i="5"/>
  <c r="L34" i="5" s="1"/>
  <c r="BB33" i="5"/>
  <c r="BA33" i="5"/>
  <c r="AZ33" i="5"/>
  <c r="AY33" i="5"/>
  <c r="AX33" i="5"/>
  <c r="AU33" i="5"/>
  <c r="AT33" i="5"/>
  <c r="AW33" i="5" s="1"/>
  <c r="AS33" i="5"/>
  <c r="J33" i="2" s="1"/>
  <c r="AR33" i="5"/>
  <c r="I33" i="2" s="1"/>
  <c r="AQ33" i="5"/>
  <c r="K33" i="2" s="1"/>
  <c r="AP33" i="5"/>
  <c r="AO33" i="5"/>
  <c r="AN33" i="5"/>
  <c r="AM33" i="5"/>
  <c r="AL33" i="5"/>
  <c r="H33" i="2" s="1"/>
  <c r="AK33" i="5"/>
  <c r="AG33" i="5"/>
  <c r="AF33" i="5"/>
  <c r="AI33" i="5" s="1"/>
  <c r="AE33" i="5"/>
  <c r="AJ33" i="5" s="1"/>
  <c r="Z33" i="5"/>
  <c r="E33" i="2" s="1"/>
  <c r="Y33" i="5"/>
  <c r="X33" i="5"/>
  <c r="W33" i="5"/>
  <c r="V33" i="5"/>
  <c r="U33" i="5"/>
  <c r="T33" i="5"/>
  <c r="S33" i="5"/>
  <c r="R33" i="5"/>
  <c r="P33" i="5"/>
  <c r="O33" i="5"/>
  <c r="N33" i="5"/>
  <c r="M33" i="5"/>
  <c r="Q33" i="5" s="1"/>
  <c r="I33" i="5"/>
  <c r="L33" i="5" s="1"/>
  <c r="BB32" i="5"/>
  <c r="BA32" i="5"/>
  <c r="AZ32" i="5"/>
  <c r="AY32" i="5"/>
  <c r="AX32" i="5"/>
  <c r="AU32" i="5"/>
  <c r="AT32" i="5"/>
  <c r="AW32" i="5" s="1"/>
  <c r="AS32" i="5"/>
  <c r="J32" i="2" s="1"/>
  <c r="AR32" i="5"/>
  <c r="I32" i="2" s="1"/>
  <c r="AQ32" i="5"/>
  <c r="K32" i="2" s="1"/>
  <c r="AP32" i="5"/>
  <c r="AO32" i="5"/>
  <c r="AN32" i="5"/>
  <c r="AM32" i="5"/>
  <c r="AL32" i="5"/>
  <c r="H32" i="2" s="1"/>
  <c r="AK32" i="5"/>
  <c r="AJ32" i="5"/>
  <c r="AG32" i="5"/>
  <c r="AF32" i="5"/>
  <c r="AI32" i="5" s="1"/>
  <c r="AE32" i="5"/>
  <c r="Z32" i="5"/>
  <c r="AA32" i="5" s="1"/>
  <c r="Y32" i="5"/>
  <c r="X32" i="5"/>
  <c r="W32" i="5"/>
  <c r="V32" i="5"/>
  <c r="U32" i="5"/>
  <c r="T32" i="5"/>
  <c r="S32" i="5"/>
  <c r="R32" i="5"/>
  <c r="P32" i="5"/>
  <c r="O32" i="5"/>
  <c r="N32" i="5"/>
  <c r="M32" i="5"/>
  <c r="Q32" i="5" s="1"/>
  <c r="I32" i="5"/>
  <c r="BB31" i="5"/>
  <c r="BA31" i="5"/>
  <c r="AZ31" i="5"/>
  <c r="AY31" i="5"/>
  <c r="AX31" i="5"/>
  <c r="AU31" i="5"/>
  <c r="AT31" i="5"/>
  <c r="AW31" i="5" s="1"/>
  <c r="AS31" i="5"/>
  <c r="J31" i="2" s="1"/>
  <c r="AR31" i="5"/>
  <c r="I31" i="2" s="1"/>
  <c r="AQ31" i="5"/>
  <c r="K31" i="2" s="1"/>
  <c r="AP31" i="5"/>
  <c r="AO31" i="5"/>
  <c r="AN31" i="5"/>
  <c r="AM31" i="5"/>
  <c r="AL31" i="5"/>
  <c r="H31" i="2" s="1"/>
  <c r="AK31" i="5"/>
  <c r="AG31" i="5"/>
  <c r="AF31" i="5"/>
  <c r="AI31" i="5" s="1"/>
  <c r="AE31" i="5"/>
  <c r="AJ31" i="5" s="1"/>
  <c r="Z31" i="5"/>
  <c r="E31" i="2" s="1"/>
  <c r="Y31" i="5"/>
  <c r="X31" i="5"/>
  <c r="W31" i="5"/>
  <c r="V31" i="5"/>
  <c r="U31" i="5"/>
  <c r="T31" i="5"/>
  <c r="S31" i="5"/>
  <c r="R31" i="5"/>
  <c r="P31" i="5"/>
  <c r="O31" i="5"/>
  <c r="N31" i="5"/>
  <c r="M31" i="5"/>
  <c r="Q31" i="5" s="1"/>
  <c r="I31" i="5"/>
  <c r="L31" i="5" s="1"/>
  <c r="BB30" i="5"/>
  <c r="BA30" i="5"/>
  <c r="AZ30" i="5"/>
  <c r="AY30" i="5"/>
  <c r="AX30" i="5"/>
  <c r="AW30" i="5"/>
  <c r="AV30" i="5"/>
  <c r="AU30" i="5"/>
  <c r="AT30" i="5"/>
  <c r="AS30" i="5"/>
  <c r="J30" i="2" s="1"/>
  <c r="AR30" i="5"/>
  <c r="I30" i="2" s="1"/>
  <c r="AQ30" i="5"/>
  <c r="K30" i="2" s="1"/>
  <c r="AP30" i="5"/>
  <c r="AO30" i="5"/>
  <c r="AN30" i="5"/>
  <c r="AM30" i="5"/>
  <c r="AL30" i="5"/>
  <c r="H30" i="2" s="1"/>
  <c r="AK30" i="5"/>
  <c r="AJ30" i="5"/>
  <c r="AG30" i="5"/>
  <c r="AF30" i="5"/>
  <c r="AI30" i="5" s="1"/>
  <c r="AE30" i="5"/>
  <c r="Z30" i="5"/>
  <c r="E30" i="2" s="1"/>
  <c r="Y30" i="5"/>
  <c r="X30" i="5"/>
  <c r="W30" i="5"/>
  <c r="V30" i="5"/>
  <c r="U30" i="5"/>
  <c r="T30" i="5"/>
  <c r="S30" i="5"/>
  <c r="R30" i="5"/>
  <c r="P30" i="5"/>
  <c r="O30" i="5"/>
  <c r="N30" i="5"/>
  <c r="M30" i="5"/>
  <c r="Q30" i="5" s="1"/>
  <c r="I30" i="5"/>
  <c r="J30" i="5" s="1"/>
  <c r="BB29" i="5"/>
  <c r="BA29" i="5"/>
  <c r="AZ29" i="5"/>
  <c r="AY29" i="5"/>
  <c r="AX29" i="5"/>
  <c r="AU29" i="5"/>
  <c r="AT29" i="5"/>
  <c r="AV29" i="5" s="1"/>
  <c r="AS29" i="5"/>
  <c r="J29" i="2" s="1"/>
  <c r="AR29" i="5"/>
  <c r="I29" i="2" s="1"/>
  <c r="AQ29" i="5"/>
  <c r="K29" i="2" s="1"/>
  <c r="AP29" i="5"/>
  <c r="AO29" i="5"/>
  <c r="AN29" i="5"/>
  <c r="AM29" i="5"/>
  <c r="AL29" i="5"/>
  <c r="H29" i="2" s="1"/>
  <c r="AK29" i="5"/>
  <c r="AJ29" i="5"/>
  <c r="AG29" i="5"/>
  <c r="AF29" i="5"/>
  <c r="AI29" i="5" s="1"/>
  <c r="AE29" i="5"/>
  <c r="Z29" i="5"/>
  <c r="Y29" i="5"/>
  <c r="X29" i="5"/>
  <c r="W29" i="5"/>
  <c r="V29" i="5"/>
  <c r="U29" i="5"/>
  <c r="T29" i="5"/>
  <c r="S29" i="5"/>
  <c r="R29" i="5"/>
  <c r="P29" i="5"/>
  <c r="O29" i="5"/>
  <c r="N29" i="5"/>
  <c r="M29" i="5"/>
  <c r="Q29" i="5" s="1"/>
  <c r="I29" i="5"/>
  <c r="K29" i="5" s="1"/>
  <c r="BB28" i="5"/>
  <c r="BA28" i="5"/>
  <c r="AZ28" i="5"/>
  <c r="AY28" i="5"/>
  <c r="AX28" i="5"/>
  <c r="AU28" i="5"/>
  <c r="AT28" i="5"/>
  <c r="AW28" i="5" s="1"/>
  <c r="AS28" i="5"/>
  <c r="J28" i="2" s="1"/>
  <c r="AR28" i="5"/>
  <c r="I28" i="2" s="1"/>
  <c r="AQ28" i="5"/>
  <c r="K28" i="2" s="1"/>
  <c r="AP28" i="5"/>
  <c r="AO28" i="5"/>
  <c r="AN28" i="5"/>
  <c r="AM28" i="5"/>
  <c r="AL28" i="5"/>
  <c r="H28" i="2" s="1"/>
  <c r="AK28" i="5"/>
  <c r="AG28" i="5"/>
  <c r="AF28" i="5"/>
  <c r="AI28" i="5" s="1"/>
  <c r="AE28" i="5"/>
  <c r="AJ28" i="5" s="1"/>
  <c r="Z28" i="5"/>
  <c r="E28" i="2" s="1"/>
  <c r="Y28" i="5"/>
  <c r="X28" i="5"/>
  <c r="W28" i="5"/>
  <c r="V28" i="5"/>
  <c r="U28" i="5"/>
  <c r="T28" i="5"/>
  <c r="S28" i="5"/>
  <c r="R28" i="5"/>
  <c r="P28" i="5"/>
  <c r="O28" i="5"/>
  <c r="N28" i="5"/>
  <c r="M28" i="5"/>
  <c r="Q28" i="5" s="1"/>
  <c r="I28" i="5"/>
  <c r="K28" i="5" s="1"/>
  <c r="BB27" i="5"/>
  <c r="BA27" i="5"/>
  <c r="AZ27" i="5"/>
  <c r="AY27" i="5"/>
  <c r="AX27" i="5"/>
  <c r="AU27" i="5"/>
  <c r="AT27" i="5"/>
  <c r="AV27" i="5" s="1"/>
  <c r="AS27" i="5"/>
  <c r="J27" i="2" s="1"/>
  <c r="AR27" i="5"/>
  <c r="I27" i="2" s="1"/>
  <c r="AQ27" i="5"/>
  <c r="K27" i="2" s="1"/>
  <c r="AP27" i="5"/>
  <c r="AO27" i="5"/>
  <c r="AN27" i="5"/>
  <c r="AM27" i="5"/>
  <c r="AL27" i="5"/>
  <c r="H27" i="2" s="1"/>
  <c r="AK27" i="5"/>
  <c r="AJ27" i="5"/>
  <c r="AG27" i="5"/>
  <c r="AF27" i="5"/>
  <c r="AI27" i="5" s="1"/>
  <c r="AE27" i="5"/>
  <c r="Z27" i="5"/>
  <c r="E27" i="2" s="1"/>
  <c r="Y27" i="5"/>
  <c r="X27" i="5"/>
  <c r="W27" i="5"/>
  <c r="V27" i="5"/>
  <c r="U27" i="5"/>
  <c r="T27" i="5"/>
  <c r="S27" i="5"/>
  <c r="R27" i="5"/>
  <c r="P27" i="5"/>
  <c r="O27" i="5"/>
  <c r="N27" i="5"/>
  <c r="M27" i="5"/>
  <c r="Q27" i="5" s="1"/>
  <c r="L27" i="5"/>
  <c r="I27" i="5"/>
  <c r="K27" i="5" s="1"/>
  <c r="BB26" i="5"/>
  <c r="BA26" i="5"/>
  <c r="AZ26" i="5"/>
  <c r="AY26" i="5"/>
  <c r="AX26" i="5"/>
  <c r="AU26" i="5"/>
  <c r="AT26" i="5"/>
  <c r="AV26" i="5" s="1"/>
  <c r="AS26" i="5"/>
  <c r="J26" i="2" s="1"/>
  <c r="AR26" i="5"/>
  <c r="I26" i="2" s="1"/>
  <c r="AQ26" i="5"/>
  <c r="K26" i="2" s="1"/>
  <c r="AP26" i="5"/>
  <c r="AO26" i="5"/>
  <c r="AN26" i="5"/>
  <c r="AM26" i="5"/>
  <c r="AL26" i="5"/>
  <c r="H26" i="2" s="1"/>
  <c r="AK26" i="5"/>
  <c r="AJ26" i="5"/>
  <c r="AG26" i="5"/>
  <c r="AF26" i="5"/>
  <c r="AI26" i="5" s="1"/>
  <c r="AE26" i="5"/>
  <c r="Z26" i="5"/>
  <c r="E26" i="2" s="1"/>
  <c r="Y26" i="5"/>
  <c r="X26" i="5"/>
  <c r="W26" i="5"/>
  <c r="V26" i="5"/>
  <c r="U26" i="5"/>
  <c r="T26" i="5"/>
  <c r="S26" i="5"/>
  <c r="R26" i="5"/>
  <c r="P26" i="5"/>
  <c r="O26" i="5"/>
  <c r="N26" i="5"/>
  <c r="M26" i="5"/>
  <c r="Q26" i="5" s="1"/>
  <c r="I26" i="5"/>
  <c r="L26" i="5" s="1"/>
  <c r="BB25" i="5"/>
  <c r="BA25" i="5"/>
  <c r="AZ25" i="5"/>
  <c r="AY25" i="5"/>
  <c r="AX25" i="5"/>
  <c r="AU25" i="5"/>
  <c r="AT25" i="5"/>
  <c r="AV25" i="5" s="1"/>
  <c r="AS25" i="5"/>
  <c r="J25" i="2" s="1"/>
  <c r="AR25" i="5"/>
  <c r="I25" i="2" s="1"/>
  <c r="AQ25" i="5"/>
  <c r="K25" i="2" s="1"/>
  <c r="AP25" i="5"/>
  <c r="AO25" i="5"/>
  <c r="AN25" i="5"/>
  <c r="AM25" i="5"/>
  <c r="AL25" i="5"/>
  <c r="H25" i="2" s="1"/>
  <c r="AK25" i="5"/>
  <c r="AJ25" i="5"/>
  <c r="AG25" i="5"/>
  <c r="AF25" i="5"/>
  <c r="AI25" i="5" s="1"/>
  <c r="AE25" i="5"/>
  <c r="Z25" i="5"/>
  <c r="E25" i="2" s="1"/>
  <c r="Y25" i="5"/>
  <c r="X25" i="5"/>
  <c r="W25" i="5"/>
  <c r="V25" i="5"/>
  <c r="U25" i="5"/>
  <c r="T25" i="5"/>
  <c r="S25" i="5"/>
  <c r="R25" i="5"/>
  <c r="P25" i="5"/>
  <c r="O25" i="5"/>
  <c r="N25" i="5"/>
  <c r="M25" i="5"/>
  <c r="Q25" i="5" s="1"/>
  <c r="I25" i="5"/>
  <c r="K25" i="5" s="1"/>
  <c r="BB24" i="5"/>
  <c r="BA24" i="5"/>
  <c r="AZ24" i="5"/>
  <c r="AY24" i="5"/>
  <c r="AX24" i="5"/>
  <c r="AU24" i="5"/>
  <c r="AT24" i="5"/>
  <c r="AV24" i="5" s="1"/>
  <c r="AS24" i="5"/>
  <c r="J24" i="2" s="1"/>
  <c r="AR24" i="5"/>
  <c r="I24" i="2" s="1"/>
  <c r="AQ24" i="5"/>
  <c r="K24" i="2" s="1"/>
  <c r="AP24" i="5"/>
  <c r="AO24" i="5"/>
  <c r="AN24" i="5"/>
  <c r="AM24" i="5"/>
  <c r="AL24" i="5"/>
  <c r="H24" i="2" s="1"/>
  <c r="AK24" i="5"/>
  <c r="AJ24" i="5"/>
  <c r="AG24" i="5"/>
  <c r="AF24" i="5"/>
  <c r="AI24" i="5" s="1"/>
  <c r="AE24" i="5"/>
  <c r="Z24" i="5"/>
  <c r="E24" i="2" s="1"/>
  <c r="Y24" i="5"/>
  <c r="X24" i="5"/>
  <c r="W24" i="5"/>
  <c r="V24" i="5"/>
  <c r="U24" i="5"/>
  <c r="T24" i="5"/>
  <c r="S24" i="5"/>
  <c r="R24" i="5"/>
  <c r="P24" i="5"/>
  <c r="O24" i="5"/>
  <c r="N24" i="5"/>
  <c r="M24" i="5"/>
  <c r="Q24" i="5" s="1"/>
  <c r="J24" i="5"/>
  <c r="I24" i="5"/>
  <c r="K24" i="5" s="1"/>
  <c r="BB23" i="5"/>
  <c r="BA23" i="5"/>
  <c r="AZ23" i="5"/>
  <c r="AY23" i="5"/>
  <c r="AX23" i="5"/>
  <c r="AU23" i="5"/>
  <c r="AT23" i="5"/>
  <c r="AS23" i="5"/>
  <c r="J23" i="2" s="1"/>
  <c r="AR23" i="5"/>
  <c r="I23" i="2" s="1"/>
  <c r="AQ23" i="5"/>
  <c r="K23" i="2" s="1"/>
  <c r="AP23" i="5"/>
  <c r="AO23" i="5"/>
  <c r="AN23" i="5"/>
  <c r="AM23" i="5"/>
  <c r="AL23" i="5"/>
  <c r="H23" i="2" s="1"/>
  <c r="AK23" i="5"/>
  <c r="AG23" i="5"/>
  <c r="AF23" i="5"/>
  <c r="AI23" i="5" s="1"/>
  <c r="AE23" i="5"/>
  <c r="AJ23" i="5" s="1"/>
  <c r="Z23" i="5"/>
  <c r="E23" i="2" s="1"/>
  <c r="Y23" i="5"/>
  <c r="X23" i="5"/>
  <c r="W23" i="5"/>
  <c r="V23" i="5"/>
  <c r="U23" i="5"/>
  <c r="T23" i="5"/>
  <c r="S23" i="5"/>
  <c r="R23" i="5"/>
  <c r="P23" i="5"/>
  <c r="O23" i="5"/>
  <c r="N23" i="5"/>
  <c r="M23" i="5"/>
  <c r="Q23" i="5" s="1"/>
  <c r="I23" i="5"/>
  <c r="K23" i="5" s="1"/>
  <c r="BB22" i="5"/>
  <c r="BA22" i="5"/>
  <c r="AZ22" i="5"/>
  <c r="AY22" i="5"/>
  <c r="AX22" i="5"/>
  <c r="AU22" i="5"/>
  <c r="AT22" i="5"/>
  <c r="AW22" i="5" s="1"/>
  <c r="AS22" i="5"/>
  <c r="J22" i="2" s="1"/>
  <c r="AR22" i="5"/>
  <c r="I22" i="2" s="1"/>
  <c r="AQ22" i="5"/>
  <c r="K22" i="2" s="1"/>
  <c r="AP22" i="5"/>
  <c r="AO22" i="5"/>
  <c r="AN22" i="5"/>
  <c r="AM22" i="5"/>
  <c r="AL22" i="5"/>
  <c r="H22" i="2" s="1"/>
  <c r="AK22" i="5"/>
  <c r="AJ22" i="5"/>
  <c r="AG22" i="5"/>
  <c r="AF22" i="5"/>
  <c r="AE22" i="5"/>
  <c r="Z22" i="5"/>
  <c r="AA22" i="5" s="1"/>
  <c r="F22" i="2" s="1"/>
  <c r="Y22" i="5"/>
  <c r="X22" i="5"/>
  <c r="W22" i="5"/>
  <c r="V22" i="5"/>
  <c r="U22" i="5"/>
  <c r="T22" i="5"/>
  <c r="S22" i="5"/>
  <c r="R22" i="5"/>
  <c r="P22" i="5"/>
  <c r="O22" i="5"/>
  <c r="N22" i="5"/>
  <c r="M22" i="5"/>
  <c r="Q22" i="5" s="1"/>
  <c r="I22" i="5"/>
  <c r="K22" i="5" s="1"/>
  <c r="BB21" i="5"/>
  <c r="BA21" i="5"/>
  <c r="AZ21" i="5"/>
  <c r="AY21" i="5"/>
  <c r="AX21" i="5"/>
  <c r="AU21" i="5"/>
  <c r="AT21" i="5"/>
  <c r="AS21" i="5"/>
  <c r="J21" i="2" s="1"/>
  <c r="AR21" i="5"/>
  <c r="I21" i="2" s="1"/>
  <c r="AQ21" i="5"/>
  <c r="K21" i="2" s="1"/>
  <c r="AP21" i="5"/>
  <c r="AO21" i="5"/>
  <c r="AN21" i="5"/>
  <c r="AM21" i="5"/>
  <c r="AL21" i="5"/>
  <c r="H21" i="2" s="1"/>
  <c r="AK21" i="5"/>
  <c r="AJ21" i="5"/>
  <c r="AG21" i="5"/>
  <c r="AF21" i="5"/>
  <c r="AI21" i="5" s="1"/>
  <c r="AE21" i="5"/>
  <c r="Z21" i="5"/>
  <c r="E21" i="2" s="1"/>
  <c r="Y21" i="5"/>
  <c r="X21" i="5"/>
  <c r="W21" i="5"/>
  <c r="V21" i="5"/>
  <c r="U21" i="5"/>
  <c r="T21" i="5"/>
  <c r="S21" i="5"/>
  <c r="R21" i="5"/>
  <c r="P21" i="5"/>
  <c r="O21" i="5"/>
  <c r="N21" i="5"/>
  <c r="M21" i="5"/>
  <c r="Q21" i="5" s="1"/>
  <c r="I21" i="5"/>
  <c r="L21" i="5" s="1"/>
  <c r="BB20" i="5"/>
  <c r="BA20" i="5"/>
  <c r="AZ20" i="5"/>
  <c r="AY20" i="5"/>
  <c r="AX20" i="5"/>
  <c r="AW20" i="5"/>
  <c r="AU20" i="5"/>
  <c r="AT20" i="5"/>
  <c r="AV20" i="5" s="1"/>
  <c r="AS20" i="5"/>
  <c r="J20" i="2" s="1"/>
  <c r="AR20" i="5"/>
  <c r="I20" i="2" s="1"/>
  <c r="AQ20" i="5"/>
  <c r="K20" i="2" s="1"/>
  <c r="AP20" i="5"/>
  <c r="AO20" i="5"/>
  <c r="AN20" i="5"/>
  <c r="AM20" i="5"/>
  <c r="AL20" i="5"/>
  <c r="H20" i="2" s="1"/>
  <c r="AK20" i="5"/>
  <c r="AJ20" i="5"/>
  <c r="AG20" i="5"/>
  <c r="AF20" i="5"/>
  <c r="AI20" i="5" s="1"/>
  <c r="AE20" i="5"/>
  <c r="Z20" i="5"/>
  <c r="AA20" i="5" s="1"/>
  <c r="AC20" i="5" s="1"/>
  <c r="Y20" i="5"/>
  <c r="X20" i="5"/>
  <c r="W20" i="5"/>
  <c r="V20" i="5"/>
  <c r="U20" i="5"/>
  <c r="T20" i="5"/>
  <c r="S20" i="5"/>
  <c r="R20" i="5"/>
  <c r="P20" i="5"/>
  <c r="O20" i="5"/>
  <c r="N20" i="5"/>
  <c r="M20" i="5"/>
  <c r="Q20" i="5" s="1"/>
  <c r="I20" i="5"/>
  <c r="L20" i="5" s="1"/>
  <c r="BB19" i="5"/>
  <c r="BA19" i="5"/>
  <c r="AZ19" i="5"/>
  <c r="AY19" i="5"/>
  <c r="AX19" i="5"/>
  <c r="AU19" i="5"/>
  <c r="AT19" i="5"/>
  <c r="AV19" i="5" s="1"/>
  <c r="AS19" i="5"/>
  <c r="J19" i="2" s="1"/>
  <c r="AR19" i="5"/>
  <c r="I19" i="2" s="1"/>
  <c r="AQ19" i="5"/>
  <c r="K19" i="2" s="1"/>
  <c r="AP19" i="5"/>
  <c r="AO19" i="5"/>
  <c r="AN19" i="5"/>
  <c r="AM19" i="5"/>
  <c r="AL19" i="5"/>
  <c r="H19" i="2" s="1"/>
  <c r="AK19" i="5"/>
  <c r="AG19" i="5"/>
  <c r="AF19" i="5"/>
  <c r="AI19" i="5" s="1"/>
  <c r="AE19" i="5"/>
  <c r="AJ19" i="5" s="1"/>
  <c r="Z19" i="5"/>
  <c r="E19" i="2" s="1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I19" i="5"/>
  <c r="K19" i="5" s="1"/>
  <c r="BB18" i="5"/>
  <c r="BA18" i="5"/>
  <c r="AZ18" i="5"/>
  <c r="AY18" i="5"/>
  <c r="AX18" i="5"/>
  <c r="AU18" i="5"/>
  <c r="AT18" i="5"/>
  <c r="AV18" i="5" s="1"/>
  <c r="AS18" i="5"/>
  <c r="J18" i="2" s="1"/>
  <c r="AR18" i="5"/>
  <c r="I18" i="2" s="1"/>
  <c r="AQ18" i="5"/>
  <c r="K18" i="2" s="1"/>
  <c r="AP18" i="5"/>
  <c r="AO18" i="5"/>
  <c r="AN18" i="5"/>
  <c r="AM18" i="5"/>
  <c r="AL18" i="5"/>
  <c r="H18" i="2" s="1"/>
  <c r="AK18" i="5"/>
  <c r="AG18" i="5"/>
  <c r="AF18" i="5"/>
  <c r="AI18" i="5" s="1"/>
  <c r="AE18" i="5"/>
  <c r="AJ18" i="5" s="1"/>
  <c r="Z18" i="5"/>
  <c r="Y18" i="5"/>
  <c r="X18" i="5"/>
  <c r="W18" i="5"/>
  <c r="V18" i="5"/>
  <c r="U18" i="5"/>
  <c r="T18" i="5"/>
  <c r="S18" i="5"/>
  <c r="R18" i="5"/>
  <c r="P18" i="5"/>
  <c r="O18" i="5"/>
  <c r="N18" i="5"/>
  <c r="M18" i="5"/>
  <c r="Q18" i="5" s="1"/>
  <c r="I18" i="5"/>
  <c r="L18" i="5" s="1"/>
  <c r="BB17" i="5"/>
  <c r="BA17" i="5"/>
  <c r="AZ17" i="5"/>
  <c r="AY17" i="5"/>
  <c r="AX17" i="5"/>
  <c r="AW17" i="5"/>
  <c r="AV17" i="5"/>
  <c r="AU17" i="5"/>
  <c r="AT17" i="5"/>
  <c r="AS17" i="5"/>
  <c r="J17" i="2" s="1"/>
  <c r="AR17" i="5"/>
  <c r="I17" i="2" s="1"/>
  <c r="AQ17" i="5"/>
  <c r="K17" i="2" s="1"/>
  <c r="AP17" i="5"/>
  <c r="AO17" i="5"/>
  <c r="AN17" i="5"/>
  <c r="AM17" i="5"/>
  <c r="AL17" i="5"/>
  <c r="H17" i="2" s="1"/>
  <c r="AK17" i="5"/>
  <c r="AG17" i="5"/>
  <c r="AF17" i="5"/>
  <c r="AI17" i="5" s="1"/>
  <c r="AE17" i="5"/>
  <c r="AJ17" i="5" s="1"/>
  <c r="Z17" i="5"/>
  <c r="E17" i="2" s="1"/>
  <c r="Y17" i="5"/>
  <c r="X17" i="5"/>
  <c r="W17" i="5"/>
  <c r="V17" i="5"/>
  <c r="U17" i="5"/>
  <c r="T17" i="5"/>
  <c r="S17" i="5"/>
  <c r="R17" i="5"/>
  <c r="P17" i="5"/>
  <c r="O17" i="5"/>
  <c r="N17" i="5"/>
  <c r="M17" i="5"/>
  <c r="Q17" i="5" s="1"/>
  <c r="I17" i="5"/>
  <c r="L17" i="5" s="1"/>
  <c r="BB16" i="5"/>
  <c r="BA16" i="5"/>
  <c r="AZ16" i="5"/>
  <c r="AY16" i="5"/>
  <c r="AX16" i="5"/>
  <c r="AU16" i="5"/>
  <c r="AT16" i="5"/>
  <c r="AW16" i="5" s="1"/>
  <c r="AS16" i="5"/>
  <c r="J16" i="2" s="1"/>
  <c r="AR16" i="5"/>
  <c r="I16" i="2" s="1"/>
  <c r="AQ16" i="5"/>
  <c r="K16" i="2" s="1"/>
  <c r="AP16" i="5"/>
  <c r="AO16" i="5"/>
  <c r="AN16" i="5"/>
  <c r="AM16" i="5"/>
  <c r="AL16" i="5"/>
  <c r="H16" i="2" s="1"/>
  <c r="AK16" i="5"/>
  <c r="AJ16" i="5"/>
  <c r="AG16" i="5"/>
  <c r="AF16" i="5"/>
  <c r="AI16" i="5" s="1"/>
  <c r="AE16" i="5"/>
  <c r="Z16" i="5"/>
  <c r="E16" i="2" s="1"/>
  <c r="Y16" i="5"/>
  <c r="X16" i="5"/>
  <c r="W16" i="5"/>
  <c r="V16" i="5"/>
  <c r="U16" i="5"/>
  <c r="T16" i="5"/>
  <c r="S16" i="5"/>
  <c r="R16" i="5"/>
  <c r="P16" i="5"/>
  <c r="O16" i="5"/>
  <c r="N16" i="5"/>
  <c r="M16" i="5"/>
  <c r="Q16" i="5" s="1"/>
  <c r="I16" i="5"/>
  <c r="J16" i="5" s="1"/>
  <c r="BB15" i="5"/>
  <c r="BA15" i="5"/>
  <c r="AZ15" i="5"/>
  <c r="AY15" i="5"/>
  <c r="AX15" i="5"/>
  <c r="AU15" i="5"/>
  <c r="AT15" i="5"/>
  <c r="AW15" i="5" s="1"/>
  <c r="AS15" i="5"/>
  <c r="J15" i="2" s="1"/>
  <c r="AR15" i="5"/>
  <c r="I15" i="2" s="1"/>
  <c r="AQ15" i="5"/>
  <c r="K15" i="2" s="1"/>
  <c r="AP15" i="5"/>
  <c r="AO15" i="5"/>
  <c r="AN15" i="5"/>
  <c r="AM15" i="5"/>
  <c r="AL15" i="5"/>
  <c r="H15" i="2" s="1"/>
  <c r="AK15" i="5"/>
  <c r="AG15" i="5"/>
  <c r="AF15" i="5"/>
  <c r="AH15" i="5" s="1"/>
  <c r="AE15" i="5"/>
  <c r="AJ15" i="5" s="1"/>
  <c r="Z15" i="5"/>
  <c r="AA15" i="5" s="1"/>
  <c r="Y15" i="5"/>
  <c r="X15" i="5"/>
  <c r="W15" i="5"/>
  <c r="V15" i="5"/>
  <c r="U15" i="5"/>
  <c r="T15" i="5"/>
  <c r="S15" i="5"/>
  <c r="R15" i="5"/>
  <c r="P15" i="5"/>
  <c r="O15" i="5"/>
  <c r="N15" i="5"/>
  <c r="M15" i="5"/>
  <c r="Q15" i="5" s="1"/>
  <c r="I15" i="5"/>
  <c r="L15" i="5" s="1"/>
  <c r="BB14" i="5"/>
  <c r="BA14" i="5"/>
  <c r="AZ14" i="5"/>
  <c r="AY14" i="5"/>
  <c r="AX14" i="5"/>
  <c r="AV14" i="5"/>
  <c r="AU14" i="5"/>
  <c r="AT14" i="5"/>
  <c r="AW14" i="5" s="1"/>
  <c r="AS14" i="5"/>
  <c r="J14" i="2" s="1"/>
  <c r="AR14" i="5"/>
  <c r="I14" i="2" s="1"/>
  <c r="AQ14" i="5"/>
  <c r="K14" i="2" s="1"/>
  <c r="AP14" i="5"/>
  <c r="AO14" i="5"/>
  <c r="AN14" i="5"/>
  <c r="AM14" i="5"/>
  <c r="AL14" i="5"/>
  <c r="H14" i="2" s="1"/>
  <c r="AK14" i="5"/>
  <c r="AG14" i="5"/>
  <c r="AF14" i="5"/>
  <c r="AI14" i="5" s="1"/>
  <c r="AE14" i="5"/>
  <c r="AJ14" i="5" s="1"/>
  <c r="Z14" i="5"/>
  <c r="E14" i="2" s="1"/>
  <c r="Y14" i="5"/>
  <c r="X14" i="5"/>
  <c r="W14" i="5"/>
  <c r="V14" i="5"/>
  <c r="U14" i="5"/>
  <c r="T14" i="5"/>
  <c r="S14" i="5"/>
  <c r="R14" i="5"/>
  <c r="P14" i="5"/>
  <c r="O14" i="5"/>
  <c r="N14" i="5"/>
  <c r="M14" i="5"/>
  <c r="Q14" i="5" s="1"/>
  <c r="I14" i="5"/>
  <c r="K14" i="5" s="1"/>
  <c r="AV13" i="5"/>
  <c r="AY13" i="5" s="1"/>
  <c r="AU13" i="5"/>
  <c r="AT13" i="5"/>
  <c r="AW13" i="5" s="1"/>
  <c r="BB13" i="5" s="1"/>
  <c r="AO13" i="5"/>
  <c r="AN13" i="5"/>
  <c r="AM13" i="5"/>
  <c r="AG13" i="5"/>
  <c r="AF13" i="5"/>
  <c r="AH13" i="5" s="1"/>
  <c r="AE13" i="5"/>
  <c r="AJ13" i="5" s="1"/>
  <c r="Y13" i="5"/>
  <c r="X13" i="5"/>
  <c r="N13" i="5"/>
  <c r="O13" i="5" s="1"/>
  <c r="M13" i="5"/>
  <c r="Q13" i="5" s="1"/>
  <c r="V13" i="5" s="1"/>
  <c r="I13" i="5"/>
  <c r="K13" i="5" s="1"/>
  <c r="BB12" i="5"/>
  <c r="AU12" i="5"/>
  <c r="AT12" i="5"/>
  <c r="AW12" i="5" s="1"/>
  <c r="AP12" i="5"/>
  <c r="AO12" i="5"/>
  <c r="AN12" i="5"/>
  <c r="AM12" i="5"/>
  <c r="AG12" i="5"/>
  <c r="AF12" i="5"/>
  <c r="AI12" i="5" s="1"/>
  <c r="AE12" i="5"/>
  <c r="AJ12" i="5" s="1"/>
  <c r="Y12" i="5"/>
  <c r="X12" i="5"/>
  <c r="O12" i="5"/>
  <c r="N12" i="5"/>
  <c r="M12" i="5"/>
  <c r="Q12" i="5" s="1"/>
  <c r="I12" i="5"/>
  <c r="BB11" i="5"/>
  <c r="AY11" i="5"/>
  <c r="AU11" i="5"/>
  <c r="AT11" i="5"/>
  <c r="AW11" i="5" s="1"/>
  <c r="AO11" i="5"/>
  <c r="AN11" i="5"/>
  <c r="AG11" i="5"/>
  <c r="AF11" i="5"/>
  <c r="AH11" i="5" s="1"/>
  <c r="AE11" i="5"/>
  <c r="AJ11" i="5" s="1"/>
  <c r="Y11" i="5"/>
  <c r="X11" i="5"/>
  <c r="N11" i="5"/>
  <c r="AP11" i="5" s="1"/>
  <c r="M11" i="5"/>
  <c r="Q11" i="5" s="1"/>
  <c r="I11" i="5"/>
  <c r="J11" i="5" s="1"/>
  <c r="AV10" i="5"/>
  <c r="AY10" i="5" s="1"/>
  <c r="AT10" i="5"/>
  <c r="AW10" i="5" s="1"/>
  <c r="AP10" i="5"/>
  <c r="AO10" i="5"/>
  <c r="AN10" i="5"/>
  <c r="AM10" i="5"/>
  <c r="AG10" i="5"/>
  <c r="AF10" i="5"/>
  <c r="AI10" i="5" s="1"/>
  <c r="AE10" i="5"/>
  <c r="AJ10" i="5" s="1"/>
  <c r="Y10" i="5"/>
  <c r="X10" i="5"/>
  <c r="O10" i="5"/>
  <c r="N10" i="5"/>
  <c r="M10" i="5"/>
  <c r="I10" i="5"/>
  <c r="AT9" i="5"/>
  <c r="AV9" i="5" s="1"/>
  <c r="AY9" i="5" s="1"/>
  <c r="AO9" i="5"/>
  <c r="AN9" i="5"/>
  <c r="AM9" i="5"/>
  <c r="AG9" i="5"/>
  <c r="AF9" i="5"/>
  <c r="AH9" i="5" s="1"/>
  <c r="AE9" i="5"/>
  <c r="AJ9" i="5" s="1"/>
  <c r="Y9" i="5"/>
  <c r="X9" i="5"/>
  <c r="N9" i="5"/>
  <c r="AP9" i="5" s="1"/>
  <c r="M9" i="5"/>
  <c r="Q9" i="5" s="1"/>
  <c r="V9" i="5" s="1"/>
  <c r="I9" i="5"/>
  <c r="L9" i="5" s="1"/>
  <c r="U9" i="5" s="1"/>
  <c r="AT8" i="5"/>
  <c r="AW8" i="5" s="1"/>
  <c r="AP8" i="5"/>
  <c r="AO8" i="5"/>
  <c r="AN8" i="5"/>
  <c r="AJ8" i="5"/>
  <c r="AG8" i="5"/>
  <c r="AF8" i="5"/>
  <c r="AM8" i="5" s="1"/>
  <c r="AE8" i="5"/>
  <c r="Y8" i="5"/>
  <c r="X8" i="5"/>
  <c r="O8" i="5"/>
  <c r="N8" i="5"/>
  <c r="M8" i="5"/>
  <c r="I8" i="5"/>
  <c r="J8" i="5" s="1"/>
  <c r="AW7" i="5"/>
  <c r="BB7" i="5" s="1"/>
  <c r="AT7" i="5"/>
  <c r="AU7" i="5" s="1"/>
  <c r="AO7" i="5"/>
  <c r="AN7" i="5"/>
  <c r="AJ7" i="5"/>
  <c r="AG7" i="5"/>
  <c r="AF7" i="5"/>
  <c r="AM7" i="5" s="1"/>
  <c r="AE7" i="5"/>
  <c r="Y7" i="5"/>
  <c r="X7" i="5"/>
  <c r="N7" i="5"/>
  <c r="O7" i="5" s="1"/>
  <c r="M7" i="5"/>
  <c r="I7" i="5"/>
  <c r="L7" i="5" s="1"/>
  <c r="U7" i="5" s="1"/>
  <c r="AT6" i="5"/>
  <c r="AW6" i="5" s="1"/>
  <c r="AO6" i="5"/>
  <c r="AN6" i="5"/>
  <c r="AG6" i="5"/>
  <c r="AF6" i="5"/>
  <c r="AM6" i="5" s="1"/>
  <c r="AE6" i="5"/>
  <c r="AJ6" i="5" s="1"/>
  <c r="Y6" i="5"/>
  <c r="X6" i="5"/>
  <c r="N6" i="5"/>
  <c r="O6" i="5" s="1"/>
  <c r="M6" i="5"/>
  <c r="Q6" i="5" s="1"/>
  <c r="V6" i="5" s="1"/>
  <c r="I6" i="5"/>
  <c r="AJ40" i="5" l="1"/>
  <c r="J34" i="5"/>
  <c r="J17" i="5"/>
  <c r="J15" i="5"/>
  <c r="L24" i="5"/>
  <c r="J40" i="5"/>
  <c r="K15" i="5"/>
  <c r="L40" i="5"/>
  <c r="J37" i="5"/>
  <c r="P11" i="5"/>
  <c r="W11" i="5" s="1"/>
  <c r="S11" i="5"/>
  <c r="K30" i="5"/>
  <c r="K33" i="5"/>
  <c r="L22" i="5"/>
  <c r="J33" i="5"/>
  <c r="L28" i="5"/>
  <c r="L36" i="5"/>
  <c r="J19" i="5"/>
  <c r="J21" i="5"/>
  <c r="L29" i="5"/>
  <c r="L19" i="5"/>
  <c r="K17" i="5"/>
  <c r="J27" i="5"/>
  <c r="K20" i="5"/>
  <c r="L35" i="5"/>
  <c r="P7" i="5"/>
  <c r="W7" i="5" s="1"/>
  <c r="Q7" i="5"/>
  <c r="V7" i="5" s="1"/>
  <c r="L44" i="5"/>
  <c r="V11" i="5"/>
  <c r="L25" i="5"/>
  <c r="J43" i="5"/>
  <c r="J45" i="5"/>
  <c r="K43" i="5"/>
  <c r="K45" i="5"/>
  <c r="R11" i="5"/>
  <c r="L14" i="5"/>
  <c r="K16" i="5"/>
  <c r="K21" i="5"/>
  <c r="L30" i="5"/>
  <c r="J35" i="5"/>
  <c r="L38" i="5"/>
  <c r="L16" i="5"/>
  <c r="K41" i="5"/>
  <c r="V12" i="5"/>
  <c r="T13" i="5"/>
  <c r="AP13" i="5"/>
  <c r="L13" i="5"/>
  <c r="U13" i="5" s="1"/>
  <c r="P12" i="5"/>
  <c r="W12" i="5" s="1"/>
  <c r="R12" i="5"/>
  <c r="P13" i="5"/>
  <c r="W13" i="5" s="1"/>
  <c r="R13" i="5"/>
  <c r="O11" i="5"/>
  <c r="AM11" i="5"/>
  <c r="E21" i="7" s="1"/>
  <c r="D21" i="7" s="1"/>
  <c r="AI13" i="5"/>
  <c r="AH20" i="5"/>
  <c r="AH8" i="5"/>
  <c r="AI8" i="5"/>
  <c r="AH16" i="5"/>
  <c r="AH34" i="5"/>
  <c r="K11" i="5"/>
  <c r="T11" i="5" s="1"/>
  <c r="L11" i="5"/>
  <c r="U11" i="5" s="1"/>
  <c r="AH36" i="5"/>
  <c r="AI15" i="5"/>
  <c r="AH30" i="5"/>
  <c r="AH7" i="5"/>
  <c r="AI7" i="5"/>
  <c r="AA33" i="5"/>
  <c r="F33" i="2" s="1"/>
  <c r="AH41" i="5"/>
  <c r="AH26" i="5"/>
  <c r="AI11" i="5"/>
  <c r="AV7" i="5"/>
  <c r="AY7" i="5" s="1"/>
  <c r="AW9" i="5"/>
  <c r="BB9" i="5" s="1"/>
  <c r="AW29" i="5"/>
  <c r="AA39" i="5"/>
  <c r="F39" i="2" s="1"/>
  <c r="AV22" i="5"/>
  <c r="AB20" i="5"/>
  <c r="AW24" i="5"/>
  <c r="AV38" i="5"/>
  <c r="AV33" i="5"/>
  <c r="AA30" i="5"/>
  <c r="AD30" i="5" s="1"/>
  <c r="G30" i="2" s="1"/>
  <c r="AA28" i="5"/>
  <c r="F28" i="2" s="1"/>
  <c r="AV31" i="5"/>
  <c r="AW19" i="5"/>
  <c r="AW25" i="5"/>
  <c r="AU9" i="5"/>
  <c r="AV45" i="5"/>
  <c r="AW26" i="5"/>
  <c r="AV32" i="5"/>
  <c r="AP6" i="5"/>
  <c r="AU6" i="5"/>
  <c r="AW27" i="5"/>
  <c r="AV6" i="5"/>
  <c r="AY6" i="5" s="1"/>
  <c r="AV16" i="5"/>
  <c r="AV28" i="5"/>
  <c r="AW41" i="5"/>
  <c r="AW18" i="5"/>
  <c r="F34" i="2"/>
  <c r="AD34" i="5"/>
  <c r="G34" i="2" s="1"/>
  <c r="AC34" i="5"/>
  <c r="AB34" i="5"/>
  <c r="AH6" i="5"/>
  <c r="AK6" i="5" s="1"/>
  <c r="BA6" i="5" s="1"/>
  <c r="E22" i="2"/>
  <c r="AI6" i="5"/>
  <c r="AH25" i="5"/>
  <c r="E36" i="2"/>
  <c r="B25" i="7"/>
  <c r="AA35" i="5"/>
  <c r="AC35" i="5" s="1"/>
  <c r="AA31" i="5"/>
  <c r="AB31" i="5" s="1"/>
  <c r="AH21" i="5"/>
  <c r="AA17" i="5"/>
  <c r="AA27" i="5"/>
  <c r="AD27" i="5" s="1"/>
  <c r="G27" i="2" s="1"/>
  <c r="AH31" i="5"/>
  <c r="AH12" i="5"/>
  <c r="E32" i="2"/>
  <c r="AH27" i="5"/>
  <c r="AA43" i="5"/>
  <c r="F43" i="2" s="1"/>
  <c r="AH17" i="5"/>
  <c r="AH23" i="5"/>
  <c r="AA37" i="5"/>
  <c r="AB37" i="5" s="1"/>
  <c r="AL8" i="5"/>
  <c r="H8" i="2" s="1"/>
  <c r="AH37" i="5"/>
  <c r="AA14" i="5"/>
  <c r="AD14" i="5" s="1"/>
  <c r="G14" i="2" s="1"/>
  <c r="AH33" i="5"/>
  <c r="AH29" i="5"/>
  <c r="E34" i="2"/>
  <c r="AA38" i="5"/>
  <c r="AC38" i="5" s="1"/>
  <c r="E45" i="2"/>
  <c r="AH45" i="5"/>
  <c r="AA25" i="5"/>
  <c r="AD25" i="5" s="1"/>
  <c r="G25" i="2" s="1"/>
  <c r="O9" i="5"/>
  <c r="AP7" i="5"/>
  <c r="F15" i="2"/>
  <c r="AD15" i="5"/>
  <c r="G15" i="2" s="1"/>
  <c r="AC15" i="5"/>
  <c r="AB15" i="5"/>
  <c r="F32" i="2"/>
  <c r="AD32" i="5"/>
  <c r="G32" i="2" s="1"/>
  <c r="AC32" i="5"/>
  <c r="AB32" i="5"/>
  <c r="BB8" i="5"/>
  <c r="BB10" i="5"/>
  <c r="E20" i="7"/>
  <c r="D20" i="7" s="1"/>
  <c r="E19" i="7"/>
  <c r="D19" i="7" s="1"/>
  <c r="E18" i="7"/>
  <c r="D18" i="7" s="1"/>
  <c r="E17" i="7"/>
  <c r="D17" i="7" s="1"/>
  <c r="B13" i="7"/>
  <c r="B14" i="7" s="1"/>
  <c r="AJ35" i="5"/>
  <c r="AH35" i="5"/>
  <c r="AA24" i="5"/>
  <c r="J31" i="5"/>
  <c r="AH32" i="5"/>
  <c r="K34" i="5"/>
  <c r="AV12" i="5"/>
  <c r="AY12" i="5" s="1"/>
  <c r="J10" i="5"/>
  <c r="S10" i="5" s="1"/>
  <c r="AA16" i="5"/>
  <c r="AA21" i="5"/>
  <c r="K31" i="5"/>
  <c r="J41" i="5"/>
  <c r="R7" i="5"/>
  <c r="K10" i="5"/>
  <c r="T10" i="5" s="1"/>
  <c r="AH18" i="5"/>
  <c r="AH24" i="5"/>
  <c r="AW34" i="5"/>
  <c r="AV34" i="5"/>
  <c r="L10" i="5"/>
  <c r="U10" i="5" s="1"/>
  <c r="AD36" i="5"/>
  <c r="G36" i="2" s="1"/>
  <c r="AB36" i="5"/>
  <c r="AI43" i="5"/>
  <c r="E44" i="2"/>
  <c r="AA44" i="5"/>
  <c r="AU10" i="5"/>
  <c r="J20" i="5"/>
  <c r="L23" i="5"/>
  <c r="J23" i="5"/>
  <c r="K26" i="5"/>
  <c r="J26" i="5"/>
  <c r="AH39" i="5"/>
  <c r="F36" i="2"/>
  <c r="K8" i="5"/>
  <c r="T8" i="5" s="1"/>
  <c r="P10" i="5"/>
  <c r="W10" i="5" s="1"/>
  <c r="AW23" i="5"/>
  <c r="AV23" i="5"/>
  <c r="B24" i="7"/>
  <c r="L8" i="5"/>
  <c r="U8" i="5" s="1"/>
  <c r="Q10" i="5"/>
  <c r="V10" i="5" s="1"/>
  <c r="J13" i="5"/>
  <c r="S13" i="5" s="1"/>
  <c r="AV15" i="5"/>
  <c r="J29" i="5"/>
  <c r="J38" i="5"/>
  <c r="L42" i="5"/>
  <c r="K42" i="5"/>
  <c r="J42" i="5"/>
  <c r="AJ44" i="5"/>
  <c r="AH44" i="5"/>
  <c r="R10" i="5"/>
  <c r="AA19" i="5"/>
  <c r="AW42" i="5"/>
  <c r="L32" i="5"/>
  <c r="K32" i="5"/>
  <c r="K6" i="5"/>
  <c r="T6" i="5" s="1"/>
  <c r="AU8" i="5"/>
  <c r="J18" i="5"/>
  <c r="J32" i="5"/>
  <c r="J6" i="5"/>
  <c r="S6" i="5" s="1"/>
  <c r="AV8" i="5"/>
  <c r="AY8" i="5" s="1"/>
  <c r="AH14" i="5"/>
  <c r="K18" i="5"/>
  <c r="P8" i="5"/>
  <c r="W8" i="5" s="1"/>
  <c r="Q8" i="5"/>
  <c r="V8" i="5" s="1"/>
  <c r="AI9" i="5"/>
  <c r="AD22" i="5"/>
  <c r="G22" i="2" s="1"/>
  <c r="AC22" i="5"/>
  <c r="H8" i="7"/>
  <c r="R8" i="5"/>
  <c r="AB22" i="5"/>
  <c r="AD45" i="5"/>
  <c r="G45" i="2" s="1"/>
  <c r="AC45" i="5"/>
  <c r="AB45" i="5"/>
  <c r="S8" i="5"/>
  <c r="F41" i="2"/>
  <c r="AD41" i="5"/>
  <c r="G41" i="2" s="1"/>
  <c r="AC41" i="5"/>
  <c r="AW43" i="5"/>
  <c r="AV43" i="5"/>
  <c r="L6" i="5"/>
  <c r="U6" i="5" s="1"/>
  <c r="P6" i="5"/>
  <c r="W6" i="5" s="1"/>
  <c r="AH19" i="5"/>
  <c r="AI22" i="5"/>
  <c r="AH22" i="5"/>
  <c r="AB41" i="5"/>
  <c r="E15" i="2"/>
  <c r="AH28" i="5"/>
  <c r="AJ45" i="5"/>
  <c r="R6" i="5"/>
  <c r="J9" i="5"/>
  <c r="S9" i="5" s="1"/>
  <c r="AV11" i="5"/>
  <c r="J14" i="5"/>
  <c r="AW21" i="5"/>
  <c r="AV21" i="5"/>
  <c r="AA23" i="5"/>
  <c r="K9" i="5"/>
  <c r="T9" i="5" s="1"/>
  <c r="AD20" i="5"/>
  <c r="G20" i="2" s="1"/>
  <c r="F20" i="2"/>
  <c r="AA26" i="5"/>
  <c r="J36" i="5"/>
  <c r="AA42" i="5"/>
  <c r="J7" i="5"/>
  <c r="S7" i="5" s="1"/>
  <c r="E29" i="2"/>
  <c r="AA29" i="5"/>
  <c r="K7" i="5"/>
  <c r="T7" i="5" s="1"/>
  <c r="AH10" i="5"/>
  <c r="AK10" i="5" s="1"/>
  <c r="BA10" i="5" s="1"/>
  <c r="J25" i="5"/>
  <c r="AV40" i="5"/>
  <c r="P9" i="5"/>
  <c r="W9" i="5" s="1"/>
  <c r="BB6" i="5"/>
  <c r="K12" i="5"/>
  <c r="T12" i="5" s="1"/>
  <c r="J12" i="5"/>
  <c r="S12" i="5" s="1"/>
  <c r="AA18" i="5"/>
  <c r="E18" i="2"/>
  <c r="R9" i="5"/>
  <c r="L12" i="5"/>
  <c r="U12" i="5" s="1"/>
  <c r="J22" i="5"/>
  <c r="AA40" i="5"/>
  <c r="J39" i="5"/>
  <c r="K39" i="5"/>
  <c r="AH42" i="5"/>
  <c r="K37" i="5"/>
  <c r="E20" i="2"/>
  <c r="J28" i="5"/>
  <c r="AV39" i="5"/>
  <c r="AH40" i="5"/>
  <c r="J44" i="5"/>
  <c r="AV37" i="5"/>
  <c r="AH38" i="5"/>
  <c r="E41" i="2"/>
  <c r="AK8" i="5" l="1"/>
  <c r="BA8" i="5" s="1"/>
  <c r="AX11" i="5"/>
  <c r="AZ11" i="5" s="1"/>
  <c r="AX13" i="5"/>
  <c r="AZ13" i="5" s="1"/>
  <c r="AC39" i="5"/>
  <c r="AL7" i="5"/>
  <c r="H7" i="2" s="1"/>
  <c r="AL13" i="5"/>
  <c r="H13" i="2" s="1"/>
  <c r="AK13" i="5"/>
  <c r="BA13" i="5" s="1"/>
  <c r="AL12" i="5"/>
  <c r="H12" i="2" s="1"/>
  <c r="AK12" i="5"/>
  <c r="BA12" i="5" s="1"/>
  <c r="AX12" i="5"/>
  <c r="AZ12" i="5" s="1"/>
  <c r="AD39" i="5"/>
  <c r="G39" i="2" s="1"/>
  <c r="AL11" i="5"/>
  <c r="H11" i="2" s="1"/>
  <c r="AK11" i="5"/>
  <c r="BA11" i="5" s="1"/>
  <c r="AK7" i="5"/>
  <c r="BA7" i="5" s="1"/>
  <c r="AC33" i="5"/>
  <c r="AB33" i="5"/>
  <c r="AD28" i="5"/>
  <c r="G28" i="2" s="1"/>
  <c r="AD33" i="5"/>
  <c r="G33" i="2" s="1"/>
  <c r="F30" i="2"/>
  <c r="AL10" i="5"/>
  <c r="H10" i="2" s="1"/>
  <c r="AC28" i="5"/>
  <c r="AL6" i="5"/>
  <c r="H6" i="2" s="1"/>
  <c r="AB28" i="5"/>
  <c r="F31" i="2"/>
  <c r="AB30" i="5"/>
  <c r="AC31" i="5"/>
  <c r="AC30" i="5"/>
  <c r="AB39" i="5"/>
  <c r="AB43" i="5"/>
  <c r="AD43" i="5"/>
  <c r="G43" i="2" s="1"/>
  <c r="AB25" i="5"/>
  <c r="AC43" i="5"/>
  <c r="F37" i="2"/>
  <c r="AC37" i="5"/>
  <c r="AD31" i="5"/>
  <c r="G31" i="2" s="1"/>
  <c r="AC25" i="5"/>
  <c r="AD38" i="5"/>
  <c r="G38" i="2" s="1"/>
  <c r="F25" i="2"/>
  <c r="F27" i="2"/>
  <c r="AB35" i="5"/>
  <c r="AB27" i="5"/>
  <c r="H4" i="7"/>
  <c r="AC27" i="5"/>
  <c r="F38" i="2"/>
  <c r="AB38" i="5"/>
  <c r="F14" i="2"/>
  <c r="AB14" i="5"/>
  <c r="B12" i="7"/>
  <c r="F17" i="2"/>
  <c r="AD17" i="5"/>
  <c r="G17" i="2" s="1"/>
  <c r="AC17" i="5"/>
  <c r="AC14" i="5"/>
  <c r="F35" i="2"/>
  <c r="AD35" i="5"/>
  <c r="G35" i="2" s="1"/>
  <c r="AD37" i="5"/>
  <c r="G37" i="2" s="1"/>
  <c r="AB17" i="5"/>
  <c r="AL9" i="5"/>
  <c r="H9" i="2" s="1"/>
  <c r="AK9" i="5"/>
  <c r="BA9" i="5" s="1"/>
  <c r="AX7" i="5"/>
  <c r="AZ7" i="5" s="1"/>
  <c r="H5" i="7"/>
  <c r="AC29" i="5"/>
  <c r="AB29" i="5"/>
  <c r="AD29" i="5"/>
  <c r="G29" i="2" s="1"/>
  <c r="F29" i="2"/>
  <c r="F21" i="2"/>
  <c r="AD21" i="5"/>
  <c r="G21" i="2" s="1"/>
  <c r="AC21" i="5"/>
  <c r="AB21" i="5"/>
  <c r="F16" i="2"/>
  <c r="AD16" i="5"/>
  <c r="G16" i="2" s="1"/>
  <c r="AC16" i="5"/>
  <c r="AB16" i="5"/>
  <c r="H6" i="7"/>
  <c r="F26" i="2"/>
  <c r="AB26" i="5"/>
  <c r="AD26" i="5"/>
  <c r="G26" i="2" s="1"/>
  <c r="AC26" i="5"/>
  <c r="F19" i="2"/>
  <c r="AD19" i="5"/>
  <c r="G19" i="2" s="1"/>
  <c r="AC19" i="5"/>
  <c r="AB19" i="5"/>
  <c r="F40" i="2"/>
  <c r="AD40" i="5"/>
  <c r="G40" i="2" s="1"/>
  <c r="AC40" i="5"/>
  <c r="AB40" i="5"/>
  <c r="F23" i="2"/>
  <c r="AC23" i="5"/>
  <c r="AD23" i="5"/>
  <c r="G23" i="2" s="1"/>
  <c r="AB23" i="5"/>
  <c r="AX10" i="5"/>
  <c r="AZ10" i="5" s="1"/>
  <c r="Z10" i="5" s="1"/>
  <c r="AD44" i="5"/>
  <c r="G44" i="2" s="1"/>
  <c r="AC44" i="5"/>
  <c r="AB44" i="5"/>
  <c r="F44" i="2"/>
  <c r="AX8" i="5"/>
  <c r="AZ8" i="5" s="1"/>
  <c r="Z8" i="5" s="1"/>
  <c r="AD24" i="5"/>
  <c r="G24" i="2" s="1"/>
  <c r="AB24" i="5"/>
  <c r="F24" i="2"/>
  <c r="AC24" i="5"/>
  <c r="AD42" i="5"/>
  <c r="G42" i="2" s="1"/>
  <c r="AC42" i="5"/>
  <c r="AB42" i="5"/>
  <c r="F42" i="2"/>
  <c r="B11" i="7"/>
  <c r="AX9" i="5"/>
  <c r="AZ9" i="5" s="1"/>
  <c r="AX6" i="5"/>
  <c r="AZ6" i="5" s="1"/>
  <c r="Z6" i="5" s="1"/>
  <c r="F18" i="2"/>
  <c r="AC18" i="5"/>
  <c r="AB18" i="5"/>
  <c r="AD18" i="5"/>
  <c r="G18" i="2" s="1"/>
  <c r="Z7" i="5" l="1"/>
  <c r="Z12" i="5"/>
  <c r="Z13" i="5"/>
  <c r="E13" i="2" s="1"/>
  <c r="Z11" i="5"/>
  <c r="E12" i="2"/>
  <c r="AA12" i="5"/>
  <c r="E11" i="2"/>
  <c r="AA11" i="5"/>
  <c r="Z9" i="5"/>
  <c r="E9" i="2" s="1"/>
  <c r="E8" i="2"/>
  <c r="AA8" i="5"/>
  <c r="E7" i="2"/>
  <c r="AA7" i="5"/>
  <c r="E6" i="2"/>
  <c r="AA6" i="5"/>
  <c r="E10" i="2"/>
  <c r="AA10" i="5"/>
  <c r="AA13" i="5" l="1"/>
  <c r="AC13" i="5" s="1"/>
  <c r="B5" i="7"/>
  <c r="AQ13" i="5"/>
  <c r="F13" i="2"/>
  <c r="AD13" i="5"/>
  <c r="AB13" i="5"/>
  <c r="AQ12" i="5"/>
  <c r="F12" i="2"/>
  <c r="AB12" i="5"/>
  <c r="AD12" i="5"/>
  <c r="AC12" i="5"/>
  <c r="AD11" i="5"/>
  <c r="G11" i="2" s="1"/>
  <c r="AQ11" i="5"/>
  <c r="F11" i="2"/>
  <c r="AS11" i="5"/>
  <c r="J11" i="2" s="1"/>
  <c r="AC11" i="5"/>
  <c r="AB11" i="5"/>
  <c r="AA9" i="5"/>
  <c r="AD9" i="5" s="1"/>
  <c r="AD10" i="5"/>
  <c r="AB10" i="5"/>
  <c r="AC10" i="5"/>
  <c r="F10" i="2"/>
  <c r="AQ10" i="5"/>
  <c r="F6" i="2"/>
  <c r="AC6" i="5"/>
  <c r="AB6" i="5"/>
  <c r="AD6" i="5"/>
  <c r="AQ6" i="5"/>
  <c r="F7" i="2"/>
  <c r="AD7" i="5"/>
  <c r="AB7" i="5"/>
  <c r="AC7" i="5"/>
  <c r="AQ7" i="5"/>
  <c r="F8" i="2"/>
  <c r="AD8" i="5"/>
  <c r="AC8" i="5"/>
  <c r="AB8" i="5"/>
  <c r="AQ8" i="5"/>
  <c r="E7" i="7" l="1"/>
  <c r="E5" i="7"/>
  <c r="E4" i="7"/>
  <c r="G12" i="2"/>
  <c r="AS12" i="5"/>
  <c r="J12" i="2" s="1"/>
  <c r="E6" i="7"/>
  <c r="AB9" i="5"/>
  <c r="B7" i="7" s="1"/>
  <c r="K12" i="2"/>
  <c r="AR12" i="5"/>
  <c r="I12" i="2" s="1"/>
  <c r="AC9" i="5"/>
  <c r="G13" i="2"/>
  <c r="AS13" i="5"/>
  <c r="J13" i="2" s="1"/>
  <c r="F9" i="2"/>
  <c r="K13" i="2"/>
  <c r="AR13" i="5"/>
  <c r="I13" i="2" s="1"/>
  <c r="AQ9" i="5"/>
  <c r="K9" i="2" s="1"/>
  <c r="K11" i="2"/>
  <c r="AR11" i="5"/>
  <c r="I11" i="2" s="1"/>
  <c r="G8" i="2"/>
  <c r="AS8" i="5"/>
  <c r="J8" i="2" s="1"/>
  <c r="G7" i="2"/>
  <c r="AS7" i="5"/>
  <c r="J7" i="2" s="1"/>
  <c r="K6" i="2"/>
  <c r="AR6" i="5"/>
  <c r="I6" i="2" s="1"/>
  <c r="G9" i="2"/>
  <c r="AS9" i="5"/>
  <c r="J9" i="2" s="1"/>
  <c r="K10" i="2"/>
  <c r="AR10" i="5"/>
  <c r="I10" i="2" s="1"/>
  <c r="G6" i="2"/>
  <c r="AS6" i="5"/>
  <c r="J6" i="2" s="1"/>
  <c r="K8" i="2"/>
  <c r="AR8" i="5"/>
  <c r="I8" i="2" s="1"/>
  <c r="K7" i="2"/>
  <c r="AR7" i="5"/>
  <c r="I7" i="2" s="1"/>
  <c r="G10" i="2"/>
  <c r="AS10" i="5"/>
  <c r="J10" i="2" s="1"/>
  <c r="B8" i="7" l="1"/>
  <c r="AR9" i="5"/>
  <c r="I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1" authorId="0" shapeId="0" xr:uid="{00000000-0006-0000-0500-000001000000}">
      <text>
        <r>
          <rPr>
            <sz val="10"/>
            <color rgb="FF000000"/>
            <rFont val="Arial"/>
            <family val="2"/>
          </rPr>
          <t>Doporučený default: anchor rating má mít nejvyšší váhu.</t>
        </r>
      </text>
    </comment>
    <comment ref="B44" authorId="0" shapeId="0" xr:uid="{00000000-0006-0000-0500-000002000000}">
      <text>
        <r>
          <rPr>
            <sz val="10"/>
            <color rgb="FF000000"/>
            <rFont val="Arial"/>
            <family val="2"/>
          </rPr>
          <t>Prahová hodnota pro standardní financování: BBB.</t>
        </r>
      </text>
    </comment>
  </commentList>
</comments>
</file>

<file path=xl/sharedStrings.xml><?xml version="1.0" encoding="utf-8"?>
<sst xmlns="http://schemas.openxmlformats.org/spreadsheetml/2006/main" count="497" uniqueCount="255">
  <si>
    <t>Návod ke scoring modelu (financování pohledávek)</t>
  </si>
  <si>
    <t>Účel modelu</t>
  </si>
  <si>
    <t>Odhad rizika a indikativní advance / fee z historie plateb anchoru. Slouží jako podpora rozhodnutí, ne jako jediný zdroj pravdy.</t>
  </si>
  <si>
    <t>Co vyplňujete vy</t>
  </si>
  <si>
    <t>Nejdřív list Ciselniky (doplň povolené anchory/dodavatele a hlavně rating anchorů v anchor masteru). Na Scoring vyplňte modře zvýrazněné A–H: výběr anchora, dodavatele a stavu z číselníku, Deal ID, částku, splatnost, příznaky. Metriky I–P a nová rating overlay AT–BB jdou z listů Historie / Ciselniky.</t>
  </si>
  <si>
    <t>Postup (workflow)</t>
  </si>
  <si>
    <t>1) Zkontrolujte Parametry včetně anchor-centric vah. 2) Vyplňte řádky na Scoring. 3) Doplňte nebo aktualizujte ratingy anchorů v Ciselniky. 4) Prohlédněte skóre, risk band a závěr schválení. 5) Podívejte se na souhrn na Přehled.</t>
  </si>
  <si>
    <t>List Parametry</t>
  </si>
  <si>
    <t>Prahové hodnoty, váhy bodů, advance/fee podle pásem rizika, rating gate a nastavení koncentrace portfolia. Upravujte opatrně a v souladu s politikou.</t>
  </si>
  <si>
    <t>Klíčové vstupy (A–J)</t>
  </si>
  <si>
    <t>Klíčové jsou A–H na Scoring + rating anchora v Ciselniky. Historické metriky I–P na Scoring = agregace z listu Historie. Rating overlay AT–BB převádí rating anchoru do score, gate, advance capu a fee premium.</t>
  </si>
  <si>
    <t>Omezení modelu</t>
  </si>
  <si>
    <t>Neřeší právní vymahatelnost ani mimořádné cash situace — ty patří do schvalovacího procesu mimo Excel.</t>
  </si>
  <si>
    <t>Kde co najdete</t>
  </si>
  <si>
    <t>Použijte odkazy níže nebo záložky dole — začněte u Scoring, Parametry měňte jen pokud víte proč.</t>
  </si>
  <si>
    <t>Odkazy na listy</t>
  </si>
  <si>
    <t>Pomocný sloupec AI</t>
  </si>
  <si>
    <t>Je skrytý — slouží k výpočtu top 3 / top 5 na Přehledu. Neměňte vzorce ve sloupci AI.</t>
  </si>
  <si>
    <t>Soubor MANUAL</t>
  </si>
  <si>
    <t>Textový manuál ve stejné složce: MANUAL_invoice_financing_scoring_model.md (Markdown).</t>
  </si>
  <si>
    <t>Dodavatel, splatnost, umořování</t>
  </si>
  <si>
    <t>Sloupce AH–AL: dodavatel, datum splatnosti, dní do splatnosti (AK), stav pohledávky. Sloupec AO = dní do splatnosti jen u aktivních (ne „Uhrazená“) — používá Přehled pro min/max splatnost. AM/AN = součet otevřených částek C po anchorovi / dodavateli (stav prázdný nebo Otevřená). Stav „Uhrazená“ uzavírá řádek v těchto součtech. Koncentrace Z–AG stále používá částku C na řádku.</t>
  </si>
  <si>
    <t>Rychlý přehled — je faktura vhodná ke schválení? (data ze Scoring)</t>
  </si>
  <si>
    <t>Čtěte sloupec „Závěr“. Zelená = vhodné, žlutá = s limitem/opatrně, červená = zamítnout, tmavá = STOP. Podrobnosti vždy na listu Scoring.</t>
  </si>
  <si>
    <t>Deal ID</t>
  </si>
  <si>
    <t>Anchor</t>
  </si>
  <si>
    <t>Dodavatel</t>
  </si>
  <si>
    <t>Částka (Kč)</t>
  </si>
  <si>
    <t>Skóre</t>
  </si>
  <si>
    <t>Risk band</t>
  </si>
  <si>
    <t>Doporučení</t>
  </si>
  <si>
    <t>Koncentrace</t>
  </si>
  <si>
    <t>ZÁVĚR</t>
  </si>
  <si>
    <t>Jedním pohledem</t>
  </si>
  <si>
    <t>kód</t>
  </si>
  <si>
    <t>Anchor (povolené hodnoty)</t>
  </si>
  <si>
    <t>Dodavatel (povolené hodnoty)</t>
  </si>
  <si>
    <t>Stav pohledávky</t>
  </si>
  <si>
    <t>Anchor rating — mapování</t>
  </si>
  <si>
    <t>Anchor master — doplň rating anchora</t>
  </si>
  <si>
    <t>Anchor A</t>
  </si>
  <si>
    <t>Dodavatel A</t>
  </si>
  <si>
    <t>Otevřená</t>
  </si>
  <si>
    <t>Rating</t>
  </si>
  <si>
    <t>Score</t>
  </si>
  <si>
    <t>Max advance %</t>
  </si>
  <si>
    <t>Fee premium</t>
  </si>
  <si>
    <t>Gate</t>
  </si>
  <si>
    <t>Zdroj / pozn.</t>
  </si>
  <si>
    <t>Anchor B</t>
  </si>
  <si>
    <t>Dodavatel B</t>
  </si>
  <si>
    <t>Uhrazená</t>
  </si>
  <si>
    <t>AAA</t>
  </si>
  <si>
    <t>OK</t>
  </si>
  <si>
    <t>A</t>
  </si>
  <si>
    <t>demo / upravit</t>
  </si>
  <si>
    <t>Anchor C</t>
  </si>
  <si>
    <t>Dodavatel C</t>
  </si>
  <si>
    <t>AA</t>
  </si>
  <si>
    <t>BB</t>
  </si>
  <si>
    <t>Maersk</t>
  </si>
  <si>
    <t>AVS</t>
  </si>
  <si>
    <t>BBB</t>
  </si>
  <si>
    <t>Tesco</t>
  </si>
  <si>
    <t>Bruggy</t>
  </si>
  <si>
    <t>doplňte interní / externí rating</t>
  </si>
  <si>
    <t>MANUAL</t>
  </si>
  <si>
    <t>B</t>
  </si>
  <si>
    <t>STOP</t>
  </si>
  <si>
    <t>CCC</t>
  </si>
  <si>
    <t>NR</t>
  </si>
  <si>
    <t>Pozn.: rating má být interní / externí rating anchoru. Pokud chybí, model bere NR a posouvá deal na manuální review.</t>
  </si>
  <si>
    <t>Dodavatel (volitelné)</t>
  </si>
  <si>
    <t>Částka faktury (Kč)</t>
  </si>
  <si>
    <t>Datum splatnosti</t>
  </si>
  <si>
    <t>Datum úhrady</t>
  </si>
  <si>
    <t>Zpoždění (dny)</t>
  </si>
  <si>
    <t>Pozdní?</t>
  </si>
  <si>
    <t>Nesoulad?</t>
  </si>
  <si>
    <t>Spor?</t>
  </si>
  <si>
    <t>Přenos ze Scoring (stav = Uhrazená) — zkopírujte řádek do tabulky vlevo jako hodnoty</t>
  </si>
  <si>
    <t>NE</t>
  </si>
  <si>
    <t>Částka</t>
  </si>
  <si>
    <t>Datum úhrady (návrh)</t>
  </si>
  <si>
    <t>Scoring — nejdřív vyplňte A–H, rating anchora udržujte v Ciselniky, výsledek schválení je v AR–AS (→)</t>
  </si>
  <si>
    <t>1) KROK POVINNÝ — výběr z číselníků (A–C) a údaje dealu (D–H)</t>
  </si>
  <si>
    <t>2) Historie plateb — dopočítáno z listu Historie</t>
  </si>
  <si>
    <t>Splatnost</t>
  </si>
  <si>
    <t>3) Skóre a rozhodnutí</t>
  </si>
  <si>
    <t>4) Koncentrace</t>
  </si>
  <si>
    <t>Pomocné a expozice</t>
  </si>
  <si>
    <t>5) Anchor-centric overlay</t>
  </si>
  <si>
    <t>Anchor a dodavatel vybírejte jen z listu Ciselniky. Stav pohledávky také z číselníku.</t>
  </si>
  <si>
    <t>Rating anchora se bere z listu Ciselniky (anchor master). Pokud rating chybí, model přepne deal na NR / manuální review.</t>
  </si>
  <si>
    <t>Aktuální faktura (Kč)</t>
  </si>
  <si>
    <t>Nesoulad dat?</t>
  </si>
  <si>
    <t>Počet uhrazených faktur</t>
  </si>
  <si>
    <t>Prům. zpoždění (dny)</t>
  </si>
  <si>
    <t>Podíl pozdních faktur</t>
  </si>
  <si>
    <t>Vztah (měsíce)</t>
  </si>
  <si>
    <t>Prům. hist. faktura (Kč)</t>
  </si>
  <si>
    <t>Dní do splatnosti</t>
  </si>
  <si>
    <t>Dní do splatnosti (aktivní)</t>
  </si>
  <si>
    <t>Nový anchor?</t>
  </si>
  <si>
    <t>Poměr objemu</t>
  </si>
  <si>
    <t>Body: historie</t>
  </si>
  <si>
    <t>Body: delay</t>
  </si>
  <si>
    <t>Body: volatilita</t>
  </si>
  <si>
    <t>Body: vztah</t>
  </si>
  <si>
    <t>Body: objem</t>
  </si>
  <si>
    <t>Pen.: nový</t>
  </si>
  <si>
    <t>Pen.: mismatch</t>
  </si>
  <si>
    <t>Pen.: spor</t>
  </si>
  <si>
    <t>Advance %</t>
  </si>
  <si>
    <t>Fee %</t>
  </si>
  <si>
    <t>supplier_exposure</t>
  </si>
  <si>
    <t>anchor_exposure</t>
  </si>
  <si>
    <t>total_portfolio_exposure</t>
  </si>
  <si>
    <t>supplier_to_anchor_pct</t>
  </si>
  <si>
    <t>anchor_to_portfolio_pct</t>
  </si>
  <si>
    <t>supplier_to_portfolio_pct</t>
  </si>
  <si>
    <t>concentration_score</t>
  </si>
  <si>
    <t>concentration_flag</t>
  </si>
  <si>
    <t>helper_anchor_exp_1x</t>
  </si>
  <si>
    <t>Otevřená expozice anchoru (Kč)</t>
  </si>
  <si>
    <t>Otevřená expozice dodavatele (Kč)</t>
  </si>
  <si>
    <t>Dní aktivní (AO)</t>
  </si>
  <si>
    <t>Výsledek (kód)</t>
  </si>
  <si>
    <t>ZÁVĚR SCHVÁLENÍ</t>
  </si>
  <si>
    <t>Shrnutí pro řízení</t>
  </si>
  <si>
    <t>Anchor rating</t>
  </si>
  <si>
    <t>Zdroj ratingu</t>
  </si>
  <si>
    <t>Anchor rating score</t>
  </si>
  <si>
    <t>Rating gate</t>
  </si>
  <si>
    <t>Behavior score raw</t>
  </si>
  <si>
    <t>Body: rating</t>
  </si>
  <si>
    <t>Body: behavior</t>
  </si>
  <si>
    <t>Body: koncentrace</t>
  </si>
  <si>
    <t>Pen.: rating / gate</t>
  </si>
  <si>
    <t>D001</t>
  </si>
  <si>
    <t>D002</t>
  </si>
  <si>
    <t>D003</t>
  </si>
  <si>
    <t>D004</t>
  </si>
  <si>
    <t>D005</t>
  </si>
  <si>
    <t>Parametry modelu — konstanty pro výpočty (odkazuje je list Scoring)</t>
  </si>
  <si>
    <t>Parametr</t>
  </si>
  <si>
    <t>Hodnota</t>
  </si>
  <si>
    <t>Komentář</t>
  </si>
  <si>
    <t>Min. počet uhrazených faktur</t>
  </si>
  <si>
    <t>Aby anchor dostal plný history score</t>
  </si>
  <si>
    <t>Max. průměrné zpoždění (dny)</t>
  </si>
  <si>
    <t>Pod tímto limitem dostane plné delay score</t>
  </si>
  <si>
    <t>Max. podíl pozdních faktur</t>
  </si>
  <si>
    <t>Při &lt;= 20 % pozdních faktur je volatilita OK</t>
  </si>
  <si>
    <t>Min. délka vztahu (měsíce)</t>
  </si>
  <si>
    <t>Stabilní vztah supplier-anchor</t>
  </si>
  <si>
    <t>Max. poměr aktuální / historické faktury</t>
  </si>
  <si>
    <t>Skok objemu nad limit = bez volume bonusu</t>
  </si>
  <si>
    <t>Body: průměrné zpoždění</t>
  </si>
  <si>
    <t>Anchor platí relativně včas</t>
  </si>
  <si>
    <t>Body: nízká volatilita</t>
  </si>
  <si>
    <t>Pozdní faktury nejsou časté</t>
  </si>
  <si>
    <t>Body: délka vztahu</t>
  </si>
  <si>
    <t>Opakovaný obchodní vztah</t>
  </si>
  <si>
    <t>Body: stabilní objem</t>
  </si>
  <si>
    <t>Aktuální faktura není extrémní outlier</t>
  </si>
  <si>
    <t>Penalizace: nový anchor</t>
  </si>
  <si>
    <t>Pokud dosud není žádná uhrazená faktura</t>
  </si>
  <si>
    <t>Penalizace: nesoulad dat</t>
  </si>
  <si>
    <t>Mismatch v datech / dokumentech</t>
  </si>
  <si>
    <t>Penalizace: spor / reklamace</t>
  </si>
  <si>
    <t>Faktura není nesporná</t>
  </si>
  <si>
    <t>Threshold: nízké riziko</t>
  </si>
  <si>
    <t>Skóre pro top bucket</t>
  </si>
  <si>
    <t>Threshold: střední riziko</t>
  </si>
  <si>
    <t>Skóre pro middle bucket</t>
  </si>
  <si>
    <t>Threshold: watchlist</t>
  </si>
  <si>
    <t>Pod tímto score už spíš nefinancovat</t>
  </si>
  <si>
    <t>Advance %: nízké riziko</t>
  </si>
  <si>
    <t>Doporučené procento financování</t>
  </si>
  <si>
    <t>Advance %: střední riziko</t>
  </si>
  <si>
    <t>Advance %: watchlist</t>
  </si>
  <si>
    <t>Advance %: stop</t>
  </si>
  <si>
    <t>Pod threshold jen reject</t>
  </si>
  <si>
    <t>Fee %: nízké riziko</t>
  </si>
  <si>
    <t>Indikativní fee</t>
  </si>
  <si>
    <t>Fee %: střední riziko</t>
  </si>
  <si>
    <t>Fee %: watchlist</t>
  </si>
  <si>
    <t>Fáze portfolia (portfolio_stage)</t>
  </si>
  <si>
    <t>early</t>
  </si>
  <si>
    <t>early | growth | mature — fáze portfolia (řídí limity a přísnost flagu)</t>
  </si>
  <si>
    <t>Celková expozice portfolia (Kč) — dopočet</t>
  </si>
  <si>
    <t>Součet všech částek (Kč) — globální denominátor</t>
  </si>
  <si>
    <t>— Tabulka limitů koncentrace (viz řádky 30–33) —</t>
  </si>
  <si>
    <t>Fáze (stage)</t>
  </si>
  <si>
    <t>Max. podíl anchoru v portfoliu</t>
  </si>
  <si>
    <t>Max. podíl dodavatele v rámci anchoru</t>
  </si>
  <si>
    <t>Max. podíl dodavatele v portfoliu</t>
  </si>
  <si>
    <t>growth</t>
  </si>
  <si>
    <t>mature</t>
  </si>
  <si>
    <t>Aktivní limit: max. anchor v portfoliu</t>
  </si>
  <si>
    <t>Aktivní limit: dodavatel / anchor</t>
  </si>
  <si>
    <t>Aktivní limit: dodavatel / portfolio</t>
  </si>
  <si>
    <t>Historie: filtrovat i podle dodavatele (sl. AH)</t>
  </si>
  <si>
    <t>ANO = agreguj jen řádky Historie kde Dodavatel = Scoring!AH</t>
  </si>
  <si>
    <t>Anchor-centric overlay — rating anchora má prioritu</t>
  </si>
  <si>
    <t>Nové váhy a gate pro anchor-first schvalování</t>
  </si>
  <si>
    <t>Váha: anchor rating</t>
  </si>
  <si>
    <t>Hlavní driver rozhodnutí</t>
  </si>
  <si>
    <t>Váha: behavior anchora</t>
  </si>
  <si>
    <t>Platební historie a kvalita chování anchoru</t>
  </si>
  <si>
    <t>Váha: koncentrace</t>
  </si>
  <si>
    <t>Portfolio limity a koncentrace</t>
  </si>
  <si>
    <t>Min. rating pro standard financování</t>
  </si>
  <si>
    <t>BBB a lepší může projít standardně</t>
  </si>
  <si>
    <t>Rating pouze manuálně</t>
  </si>
  <si>
    <t>BB / NR</t>
  </si>
  <si>
    <t>BB nebo bez ratingu = jen manuální schválení</t>
  </si>
  <si>
    <t>Rating STOP</t>
  </si>
  <si>
    <t>B a horší</t>
  </si>
  <si>
    <t>B / CCC = automatický stop</t>
  </si>
  <si>
    <t>Penalty: BB</t>
  </si>
  <si>
    <t>Slabý anchor = stlačí score do watchlistu / manual</t>
  </si>
  <si>
    <t>Penalty: NR</t>
  </si>
  <si>
    <t>Chybějící rating = manuální review</t>
  </si>
  <si>
    <t>Přehled portfolia — souhrn nad daty ze listu Scoring</t>
  </si>
  <si>
    <t>Počet dealů</t>
  </si>
  <si>
    <t>Počet</t>
  </si>
  <si>
    <t>Dealů s částkou</t>
  </si>
  <si>
    <t>Nízké riziko</t>
  </si>
  <si>
    <t>Průměrné skóre</t>
  </si>
  <si>
    <t>Střední riziko</t>
  </si>
  <si>
    <t>Celková faktura (Kč)</t>
  </si>
  <si>
    <t>Watchlist</t>
  </si>
  <si>
    <t>Doporučené financování (Kč)</t>
  </si>
  <si>
    <t>Stop</t>
  </si>
  <si>
    <t>Průměrný advance %</t>
  </si>
  <si>
    <t>Dealů s ratingem &gt;= BBB</t>
  </si>
  <si>
    <t>Koncentrace — doplňkový přehled</t>
  </si>
  <si>
    <t>Max. podíl jednoho anchoru v portfoliu</t>
  </si>
  <si>
    <t>(podíl)</t>
  </si>
  <si>
    <t>Max. podíl jednoho řádku (supplier/deal) v portfoliu</t>
  </si>
  <si>
    <t>Podíl top 3 anchorů (součet expozic / portfolio)</t>
  </si>
  <si>
    <t>Kontrola koncentrace top 3</t>
  </si>
  <si>
    <t>Top 5 anchorů podle expozice</t>
  </si>
  <si>
    <t>Expozice (Kč)</t>
  </si>
  <si>
    <t>Splatnosti a otevřené (ze Scoring AH–AL)</t>
  </si>
  <si>
    <t>Nejkratší dní do splatnosti (aktivní pohledávky)</t>
  </si>
  <si>
    <t>Nejdelší dní do splatnosti (aktivní pohledávky)</t>
  </si>
  <si>
    <t>Největší otevřená expozice jednoho anchoru (řádek)</t>
  </si>
  <si>
    <t>Největší otevřená expozice jednoho dodavatele (řádek)</t>
  </si>
  <si>
    <t>D006</t>
  </si>
  <si>
    <t>D007</t>
  </si>
  <si>
    <t>D008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</si>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</sst>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yyyy\-mm\-dd"/>
    <numFmt numFmtId="166" formatCode="mm/dd/yy"/>
    <numFmt numFmtId="167" formatCode="_(\$* #,##0.00_);_(\$* \(#,##0.00\);_(\$* \-??_);_(@_)"/>
    <numFmt numFmtId="168" formatCode="_-* #,##0&quot; Kč&quot;_-;\-* #,##0&quot; Kč&quot;_-;_-* \-??&quot; Kč&quot;_-;_-@_-"/>
    <numFmt numFmtId="169" formatCode="0.0"/>
    <numFmt numFmtId="170" formatCode="#,##0;[Red]\(#,##0\);\-"/>
    <numFmt numFmtId="171" formatCode="#\ ##0.0"/>
    <numFmt numFmtId="172" formatCode="#\ ##0"/>
  </numFmts>
  <fonts count="19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1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999999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3"/>
      <name val="Calibri"/>
      <family val="2"/>
      <charset val="1"/>
    </font>
    <font>
      <i/>
      <sz val="9"/>
      <name val="Calibri"/>
      <family val="2"/>
      <charset val="1"/>
    </font>
    <font>
      <b/>
      <sz val="12"/>
      <color rgb="FF1F4E79"/>
      <name val="Calibri"/>
      <family val="2"/>
      <charset val="1"/>
    </font>
    <font>
      <sz val="10"/>
      <color rgb="FF666666"/>
      <name val="Calibri"/>
      <family val="2"/>
      <charset val="1"/>
    </font>
    <font>
      <sz val="10"/>
      <color rgb="FF80008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D6DCE4"/>
        <bgColor rgb="FFD9E1F2"/>
      </patternFill>
    </fill>
    <fill>
      <patternFill patternType="solid">
        <fgColor rgb="FF203864"/>
        <bgColor rgb="FF1F4E78"/>
      </patternFill>
    </fill>
    <fill>
      <patternFill patternType="solid">
        <fgColor rgb="FF4472C4"/>
        <bgColor rgb="FF2E75B6"/>
      </patternFill>
    </fill>
    <fill>
      <patternFill patternType="solid">
        <fgColor rgb="FF1F4E79"/>
        <bgColor rgb="FF1F4E78"/>
      </patternFill>
    </fill>
    <fill>
      <patternFill patternType="solid">
        <fgColor rgb="FFE8F4FC"/>
        <bgColor rgb="FFE7F3FF"/>
      </patternFill>
    </fill>
    <fill>
      <patternFill patternType="solid">
        <fgColor rgb="FFF2F2F2"/>
        <bgColor rgb="FFF8F8F8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E7F3FF"/>
        <bgColor rgb="FFE8F4F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6DCE4"/>
      </patternFill>
    </fill>
    <fill>
      <patternFill patternType="solid">
        <fgColor rgb="FF2E75B6"/>
        <bgColor rgb="FF4472C4"/>
      </patternFill>
    </fill>
    <fill>
      <patternFill patternType="solid">
        <fgColor rgb="FFE7E6E6"/>
        <bgColor rgb="FFE2EFDA"/>
      </patternFill>
    </fill>
    <fill>
      <patternFill patternType="solid">
        <fgColor rgb="FFE2F0D9"/>
        <bgColor rgb="FFE2EFDA"/>
      </patternFill>
    </fill>
    <fill>
      <patternFill patternType="solid">
        <fgColor rgb="FFF8F8F8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4">
    <xf numFmtId="0" fontId="0" fillId="0" borderId="0"/>
    <xf numFmtId="167" fontId="16" fillId="0" borderId="0"/>
    <xf numFmtId="9" fontId="16" fillId="0" borderId="0"/>
    <xf numFmtId="0" fontId="16" fillId="0" borderId="0"/>
  </cellStyleXfs>
  <cellXfs count="76">
    <xf numFmtId="0" fontId="0" fillId="0" borderId="0" xfId="0"/>
    <xf numFmtId="168" fontId="16" fillId="0" borderId="0" xfId="1" applyNumberFormat="1"/>
    <xf numFmtId="9" fontId="16" fillId="0" borderId="0" xfId="2"/>
    <xf numFmtId="0" fontId="1" fillId="3" borderId="0" xfId="3" applyFont="1" applyFill="1" applyAlignment="1">
      <alignment vertical="top" wrapText="1"/>
    </xf>
    <xf numFmtId="0" fontId="2" fillId="3" borderId="0" xfId="3" applyFont="1" applyFill="1" applyAlignment="1">
      <alignment vertical="top" wrapText="1"/>
    </xf>
    <xf numFmtId="0" fontId="1" fillId="0" borderId="0" xfId="3" applyFont="1" applyAlignment="1">
      <alignment vertical="top" wrapText="1"/>
    </xf>
    <xf numFmtId="0" fontId="2" fillId="0" borderId="0" xfId="3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/>
    <xf numFmtId="1" fontId="0" fillId="0" borderId="0" xfId="0" applyNumberFormat="1"/>
    <xf numFmtId="0" fontId="6" fillId="6" borderId="0" xfId="0" applyFont="1" applyFill="1"/>
    <xf numFmtId="0" fontId="8" fillId="6" borderId="2" xfId="3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left" vertical="center"/>
    </xf>
    <xf numFmtId="0" fontId="6" fillId="6" borderId="1" xfId="0" applyFont="1" applyFill="1" applyBorder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6" fillId="4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165" fontId="0" fillId="7" borderId="1" xfId="0" applyNumberFormat="1" applyFill="1" applyBorder="1"/>
    <xf numFmtId="164" fontId="16" fillId="0" borderId="0" xfId="2" applyNumberFormat="1"/>
    <xf numFmtId="2" fontId="0" fillId="0" borderId="0" xfId="0" applyNumberFormat="1"/>
    <xf numFmtId="169" fontId="0" fillId="0" borderId="0" xfId="0" applyNumberFormat="1"/>
    <xf numFmtId="0" fontId="16" fillId="0" borderId="0" xfId="3" applyAlignment="1">
      <alignment vertical="center" wrapText="1"/>
    </xf>
    <xf numFmtId="0" fontId="12" fillId="11" borderId="2" xfId="3" applyFont="1" applyFill="1" applyBorder="1" applyAlignment="1">
      <alignment vertical="center" wrapText="1"/>
    </xf>
    <xf numFmtId="1" fontId="13" fillId="11" borderId="2" xfId="3" applyNumberFormat="1" applyFont="1" applyFill="1" applyBorder="1" applyAlignment="1">
      <alignment horizontal="center" vertical="center"/>
    </xf>
    <xf numFmtId="10" fontId="13" fillId="11" borderId="2" xfId="3" applyNumberFormat="1" applyFont="1" applyFill="1" applyBorder="1" applyAlignment="1">
      <alignment horizontal="center" vertical="center"/>
    </xf>
    <xf numFmtId="2" fontId="13" fillId="11" borderId="2" xfId="3" applyNumberFormat="1" applyFont="1" applyFill="1" applyBorder="1" applyAlignment="1">
      <alignment horizontal="center" vertical="center"/>
    </xf>
    <xf numFmtId="0" fontId="12" fillId="9" borderId="2" xfId="3" applyFont="1" applyFill="1" applyBorder="1" applyAlignment="1">
      <alignment vertical="center" wrapText="1"/>
    </xf>
    <xf numFmtId="1" fontId="13" fillId="9" borderId="2" xfId="3" applyNumberFormat="1" applyFont="1" applyFill="1" applyBorder="1" applyAlignment="1">
      <alignment horizontal="center" vertical="center"/>
    </xf>
    <xf numFmtId="0" fontId="12" fillId="10" borderId="2" xfId="3" applyFont="1" applyFill="1" applyBorder="1" applyAlignment="1">
      <alignment vertical="center" wrapText="1"/>
    </xf>
    <xf numFmtId="170" fontId="13" fillId="10" borderId="2" xfId="3" applyNumberFormat="1" applyFont="1" applyFill="1" applyBorder="1" applyAlignment="1">
      <alignment horizontal="center" vertical="center"/>
    </xf>
    <xf numFmtId="0" fontId="12" fillId="12" borderId="2" xfId="3" applyFont="1" applyFill="1" applyBorder="1" applyAlignment="1">
      <alignment vertical="center" wrapText="1"/>
    </xf>
    <xf numFmtId="1" fontId="13" fillId="12" borderId="2" xfId="3" applyNumberFormat="1" applyFont="1" applyFill="1" applyBorder="1" applyAlignment="1">
      <alignment horizontal="center" vertical="center"/>
    </xf>
    <xf numFmtId="0" fontId="12" fillId="13" borderId="2" xfId="3" applyFont="1" applyFill="1" applyBorder="1" applyAlignment="1">
      <alignment vertical="center" wrapText="1"/>
    </xf>
    <xf numFmtId="10" fontId="13" fillId="13" borderId="2" xfId="3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164" fontId="13" fillId="9" borderId="2" xfId="3" applyNumberFormat="1" applyFont="1" applyFill="1" applyBorder="1" applyAlignment="1">
      <alignment horizontal="center" vertical="center"/>
    </xf>
    <xf numFmtId="0" fontId="8" fillId="14" borderId="2" xfId="3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0" xfId="3" applyFont="1" applyFill="1" applyAlignment="1">
      <alignment horizontal="center" vertical="center" wrapText="1"/>
    </xf>
    <xf numFmtId="0" fontId="14" fillId="15" borderId="2" xfId="3" applyFont="1" applyFill="1" applyBorder="1" applyAlignment="1">
      <alignment vertical="center" wrapText="1"/>
    </xf>
    <xf numFmtId="171" fontId="15" fillId="16" borderId="2" xfId="3" applyNumberFormat="1" applyFont="1" applyFill="1" applyBorder="1" applyAlignment="1">
      <alignment vertical="center" wrapText="1"/>
    </xf>
    <xf numFmtId="0" fontId="16" fillId="15" borderId="2" xfId="3" applyFill="1" applyBorder="1" applyAlignment="1">
      <alignment vertical="center" wrapText="1"/>
    </xf>
    <xf numFmtId="0" fontId="16" fillId="17" borderId="2" xfId="3" applyFill="1" applyBorder="1" applyAlignment="1">
      <alignment vertical="center" wrapText="1"/>
    </xf>
    <xf numFmtId="172" fontId="15" fillId="16" borderId="2" xfId="3" applyNumberFormat="1" applyFont="1" applyFill="1" applyBorder="1" applyAlignment="1">
      <alignment vertical="center" wrapText="1"/>
    </xf>
    <xf numFmtId="10" fontId="15" fillId="16" borderId="2" xfId="3" applyNumberFormat="1" applyFont="1" applyFill="1" applyBorder="1" applyAlignment="1">
      <alignment vertical="center" wrapText="1"/>
    </xf>
    <xf numFmtId="0" fontId="16" fillId="0" borderId="2" xfId="3" applyBorder="1" applyAlignment="1">
      <alignment vertical="center" wrapText="1"/>
    </xf>
    <xf numFmtId="0" fontId="1" fillId="0" borderId="0" xfId="0" applyFont="1" applyAlignment="1">
      <alignment vertical="center" textRotation="90" wrapText="1"/>
    </xf>
    <xf numFmtId="164" fontId="1" fillId="0" borderId="0" xfId="2" applyNumberFormat="1" applyFont="1" applyAlignment="1">
      <alignment vertical="center" textRotation="90" wrapText="1"/>
    </xf>
    <xf numFmtId="168" fontId="1" fillId="0" borderId="0" xfId="1" applyNumberFormat="1" applyFont="1" applyAlignment="1">
      <alignment vertical="center" textRotation="90" wrapText="1"/>
    </xf>
    <xf numFmtId="0" fontId="6" fillId="4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11" fillId="2" borderId="0" xfId="3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1" fillId="9" borderId="0" xfId="0" applyFont="1" applyFill="1" applyAlignment="1">
      <alignment horizontal="center" vertical="center"/>
    </xf>
    <xf numFmtId="0" fontId="10" fillId="0" borderId="0" xfId="0" applyFont="1"/>
    <xf numFmtId="9" fontId="16" fillId="0" borderId="0" xfId="2"/>
    <xf numFmtId="168" fontId="16" fillId="0" borderId="0" xfId="1" applyNumberFormat="1"/>
    <xf numFmtId="0" fontId="0" fillId="0" borderId="0" xfId="0"/>
    <xf numFmtId="0" fontId="0" fillId="0" borderId="0" xfId="0" applyAlignment="1">
      <alignment horizontal="left" vertical="center" wrapText="1"/>
    </xf>
    <xf numFmtId="0" fontId="11" fillId="2" borderId="0" xfId="3" applyFont="1" applyFill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7" fillId="2" borderId="0" xfId="3" applyFont="1" applyFill="1" applyAlignment="1">
      <alignment horizontal="center" vertical="center" wrapText="1"/>
    </xf>
  </cellXfs>
  <cellStyles count="4">
    <cellStyle name="Měna" xfId="1" builtinId="4"/>
    <cellStyle name="Normal" xfId="3" xr:uid="{00000000-0005-0000-0000-000006000000}"/>
    <cellStyle name="Normální" xfId="0" builtinId="0"/>
    <cellStyle name="Procenta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4B4B4"/>
      <rgbColor rgb="FF808080"/>
      <rgbColor rgb="FF9999FF"/>
      <rgbColor rgb="FF993366"/>
      <rgbColor rgb="FFFFF2CC"/>
      <rgbColor rgb="FFE7F3FF"/>
      <rgbColor rgb="FF660066"/>
      <rgbColor rgb="FFFF8080"/>
      <rgbColor rgb="FF0563C1"/>
      <rgbColor rgb="FFD6DCE4"/>
      <rgbColor rgb="FF000080"/>
      <rgbColor rgb="FFFF00FF"/>
      <rgbColor rgb="FFF8F8F8"/>
      <rgbColor rgb="FF00FFFF"/>
      <rgbColor rgb="FF800080"/>
      <rgbColor rgb="FF800000"/>
      <rgbColor rgb="FF008080"/>
      <rgbColor rgb="FF0000FF"/>
      <rgbColor rgb="FF00CCFF"/>
      <rgbColor rgb="FFE8F4FC"/>
      <rgbColor rgb="FFE2F0D9"/>
      <rgbColor rgb="FFE2EFDA"/>
      <rgbColor rgb="FFCCCCCC"/>
      <rgbColor rgb="FFE7E6E6"/>
      <rgbColor rgb="FFD9E1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203864"/>
      <rgbColor rgb="FF339966"/>
      <rgbColor rgb="FF003300"/>
      <rgbColor rgb="FF333300"/>
      <rgbColor rgb="FF993300"/>
      <rgbColor rgb="FF993366"/>
      <rgbColor rgb="FF1F4E79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tabSelected="1" zoomScaleNormal="100" workbookViewId="0">
      <pane ySplit="3" topLeftCell="A4" activePane="bottomLeft" state="frozen"/>
      <selection pane="bottomLeft" activeCell="I14" sqref="I14"/>
    </sheetView>
  </sheetViews>
  <sheetFormatPr baseColWidth="10" defaultColWidth="8.83203125" defaultRowHeight="15" customHeight="1" x14ac:dyDescent="0.2"/>
  <cols>
    <col min="1" max="1" width="42" customWidth="1"/>
    <col min="2" max="2" width="22" customWidth="1"/>
    <col min="3" max="3" width="4" customWidth="1"/>
    <col min="4" max="4" width="22" customWidth="1"/>
    <col min="5" max="5" width="14" customWidth="1"/>
    <col min="6" max="6" width="4" customWidth="1"/>
    <col min="7" max="7" width="16" customWidth="1"/>
    <col min="8" max="8" width="12" customWidth="1"/>
  </cols>
  <sheetData>
    <row r="1" spans="1:8" ht="15.75" customHeight="1" x14ac:dyDescent="0.2">
      <c r="A1" s="58" t="s">
        <v>225</v>
      </c>
      <c r="B1" s="58"/>
      <c r="C1" s="58"/>
      <c r="D1" s="58"/>
      <c r="E1" s="58"/>
    </row>
    <row r="2" spans="1:8" x14ac:dyDescent="0.2">
      <c r="A2" s="28"/>
      <c r="B2" s="28"/>
      <c r="C2" s="28"/>
      <c r="D2" s="28"/>
      <c r="E2" s="28"/>
      <c r="F2" s="28"/>
    </row>
    <row r="3" spans="1:8" ht="24" customHeight="1" x14ac:dyDescent="0.2">
      <c r="A3" s="43" t="s">
        <v>226</v>
      </c>
      <c r="B3" s="44">
        <f>COUNTIF(Scoring!E6:E45,"&gt;0")</f>
        <v>8</v>
      </c>
      <c r="C3" s="45"/>
      <c r="D3" s="43" t="s">
        <v>29</v>
      </c>
      <c r="E3" s="44" t="s">
        <v>227</v>
      </c>
      <c r="F3" s="28"/>
      <c r="G3" s="43" t="s">
        <v>133</v>
      </c>
      <c r="H3" s="44" t="s">
        <v>227</v>
      </c>
    </row>
    <row r="4" spans="1:8" ht="24" customHeight="1" x14ac:dyDescent="0.2">
      <c r="A4" s="46" t="s">
        <v>228</v>
      </c>
      <c r="B4" s="47">
        <f>COUNT(Scoring!E6:E45)</f>
        <v>8</v>
      </c>
      <c r="C4" s="28"/>
      <c r="D4" s="48" t="s">
        <v>229</v>
      </c>
      <c r="E4" s="49">
        <f ca="1">COUNTIF(Scoring!AA6:AA45,D4)</f>
        <v>4</v>
      </c>
      <c r="F4" s="28"/>
      <c r="G4" s="48" t="s">
        <v>53</v>
      </c>
      <c r="H4" s="49">
        <f>COUNTIF(Scoring!AW6:AW45,G4)</f>
        <v>7</v>
      </c>
    </row>
    <row r="5" spans="1:8" ht="24" customHeight="1" x14ac:dyDescent="0.2">
      <c r="A5" s="46" t="s">
        <v>230</v>
      </c>
      <c r="B5" s="47">
        <f ca="1">IFERROR(AVERAGEIF(Scoring!Z6:Z45,"&gt;0"),0)</f>
        <v>74.875</v>
      </c>
      <c r="C5" s="28"/>
      <c r="D5" s="48" t="s">
        <v>231</v>
      </c>
      <c r="E5" s="49">
        <f ca="1">COUNTIF(Scoring!AA6:AA45,D5)</f>
        <v>3</v>
      </c>
      <c r="F5" s="28"/>
      <c r="G5" s="48" t="s">
        <v>66</v>
      </c>
      <c r="H5" s="49">
        <f>COUNTIF(Scoring!AW6:AW45,G5)</f>
        <v>1</v>
      </c>
    </row>
    <row r="6" spans="1:8" ht="24" customHeight="1" x14ac:dyDescent="0.2">
      <c r="A6" s="46" t="s">
        <v>232</v>
      </c>
      <c r="B6" s="50">
        <f>SUM(Scoring!E6:E45)</f>
        <v>5800000</v>
      </c>
      <c r="C6" s="28"/>
      <c r="D6" s="48" t="s">
        <v>233</v>
      </c>
      <c r="E6" s="49">
        <f ca="1">COUNTIF(Scoring!AA6:AA45,D6)</f>
        <v>0</v>
      </c>
      <c r="F6" s="28"/>
      <c r="G6" s="48" t="s">
        <v>68</v>
      </c>
      <c r="H6" s="49">
        <f>COUNTIF(Scoring!AW6:AW45,G6)</f>
        <v>0</v>
      </c>
    </row>
    <row r="7" spans="1:8" ht="24" customHeight="1" x14ac:dyDescent="0.2">
      <c r="A7" s="46" t="s">
        <v>234</v>
      </c>
      <c r="B7" s="50">
        <f ca="1">SUMPRODUCT(Scoring!E6:E45,Scoring!AB6:AB45)</f>
        <v>3825000</v>
      </c>
      <c r="C7" s="28"/>
      <c r="D7" s="48" t="s">
        <v>235</v>
      </c>
      <c r="E7" s="49">
        <f ca="1">COUNTIF(Scoring!AA6:AA45,D7)</f>
        <v>1</v>
      </c>
      <c r="F7" s="28"/>
    </row>
    <row r="8" spans="1:8" ht="24" customHeight="1" x14ac:dyDescent="0.2">
      <c r="A8" s="46" t="s">
        <v>236</v>
      </c>
      <c r="B8" s="51">
        <f ca="1">IFERROR(AVERAGEIF(Scoring!AB6:AB45,"&gt;0"),0)</f>
        <v>0.77857142857142858</v>
      </c>
      <c r="C8" s="28"/>
      <c r="D8" s="52"/>
      <c r="E8" s="52"/>
      <c r="F8" s="28"/>
      <c r="G8" s="46" t="s">
        <v>237</v>
      </c>
      <c r="H8" s="47">
        <f>COUNTIFS(Scoring!AT6:AT45,"AAA")+COUNTIFS(Scoring!AT6:AT45,"AA")+COUNTIFS(Scoring!AT6:AT45,"A")+COUNTIFS(Scoring!AT6:AT45,"BBB")</f>
        <v>7</v>
      </c>
    </row>
    <row r="10" spans="1:8" x14ac:dyDescent="0.2">
      <c r="A10" t="s">
        <v>238</v>
      </c>
    </row>
    <row r="11" spans="1:8" x14ac:dyDescent="0.2">
      <c r="A11" t="s">
        <v>239</v>
      </c>
      <c r="B11" s="17">
        <f>IFERROR(MAX(Scoring!AI6:AI45),0)</f>
        <v>0.51724137931034486</v>
      </c>
      <c r="C11" t="s">
        <v>240</v>
      </c>
    </row>
    <row r="12" spans="1:8" x14ac:dyDescent="0.2">
      <c r="A12" t="s">
        <v>241</v>
      </c>
      <c r="B12" s="17">
        <f>IFERROR(MAX(Scoring!AJ6:AJ45),0)</f>
        <v>0.43103448275862066</v>
      </c>
      <c r="C12" t="s">
        <v>240</v>
      </c>
    </row>
    <row r="13" spans="1:8" x14ac:dyDescent="0.2">
      <c r="A13" t="s">
        <v>242</v>
      </c>
      <c r="B13" s="17">
        <f>IF(Parametry!$B$28=0,0,(IFERROR(LARGE(Scoring!$AM$6:$AM$45,1),0)+IFERROR(LARGE(Scoring!$AM$6:$AM$45,2),0)+IFERROR(LARGE(Scoring!$AM$6:$AM$45,3),0))/Parametry!$B$28)</f>
        <v>0.96551724137931039</v>
      </c>
    </row>
    <row r="14" spans="1:8" x14ac:dyDescent="0.2">
      <c r="A14" t="s">
        <v>243</v>
      </c>
      <c r="B14" t="str">
        <f>IF(B13&gt;0.5,"VAROVÁNÍ: top 3 anchori &gt; 50 % portfolia","OK")</f>
        <v>VAROVÁNÍ: top 3 anchori &gt; 50 % portfolia</v>
      </c>
    </row>
    <row r="16" spans="1:8" x14ac:dyDescent="0.2">
      <c r="A16" t="s">
        <v>244</v>
      </c>
      <c r="D16" t="s">
        <v>25</v>
      </c>
      <c r="E16" t="s">
        <v>245</v>
      </c>
    </row>
    <row r="17" spans="1:5" x14ac:dyDescent="0.2">
      <c r="D17" t="str">
        <f>IF(E17="","",INDEX(Scoring!$A$6:$A$45,MATCH(E17,Scoring!$AM$6:$AM$45,0)))</f>
        <v>Maersk</v>
      </c>
      <c r="E17">
        <f>IFERROR(LARGE(Scoring!$AM$6:$AM$45,1),"")</f>
        <v>3000000</v>
      </c>
    </row>
    <row r="18" spans="1:5" x14ac:dyDescent="0.2">
      <c r="D18" t="str">
        <f>IF(E18="","",INDEX(Scoring!$A$6:$A$45,MATCH(E18,Scoring!$AM$6:$AM$45,0)))</f>
        <v>Tesco</v>
      </c>
      <c r="E18">
        <f>IFERROR(LARGE(Scoring!$AM$6:$AM$45,2),"")</f>
        <v>1700000</v>
      </c>
    </row>
    <row r="19" spans="1:5" x14ac:dyDescent="0.2">
      <c r="D19" t="str">
        <f>IF(E19="","",INDEX(Scoring!$A$6:$A$45,MATCH(E19,Scoring!$AM$6:$AM$45,0)))</f>
        <v>Anchor B</v>
      </c>
      <c r="E19">
        <f>IFERROR(LARGE(Scoring!$AM$6:$AM$45,3),"")</f>
        <v>900000</v>
      </c>
    </row>
    <row r="20" spans="1:5" x14ac:dyDescent="0.2">
      <c r="D20" t="str">
        <f>IF(E20="","",INDEX(Scoring!$A$6:$A$45,MATCH(E20,Scoring!$AM$6:$AM$45,0)))</f>
        <v>Anchor C</v>
      </c>
      <c r="E20">
        <f>IFERROR(LARGE(Scoring!$AM$6:$AM$45,4),"")</f>
        <v>200000</v>
      </c>
    </row>
    <row r="21" spans="1:5" x14ac:dyDescent="0.2">
      <c r="A21" s="9" t="s">
        <v>246</v>
      </c>
      <c r="D21" t="str">
        <f>IF(E21="","",INDEX(Scoring!$A$6:$A$45,MATCH(E21,Scoring!$AM$6:$AM$45,0)))</f>
        <v/>
      </c>
      <c r="E21" t="str">
        <f>IFERROR(LARGE(Scoring!$AM$6:$AM$45,5),"")</f>
        <v/>
      </c>
    </row>
    <row r="22" spans="1:5" x14ac:dyDescent="0.2">
      <c r="A22" t="s">
        <v>247</v>
      </c>
      <c r="B22" t="str">
        <f ca="1">IFERROR(_xludf.aggregate(15,6,Scoring!AP6:AP45,1),"")</f>
        <v/>
      </c>
    </row>
    <row r="23" spans="1:5" x14ac:dyDescent="0.2">
      <c r="A23" t="s">
        <v>248</v>
      </c>
      <c r="B23" t="str">
        <f ca="1">IFERROR(_xludf.aggregate(14,6,Scoring!AP6:AP45,1),"")</f>
        <v/>
      </c>
    </row>
    <row r="24" spans="1:5" x14ac:dyDescent="0.2">
      <c r="A24" t="s">
        <v>249</v>
      </c>
      <c r="B24">
        <f>IFERROR(MAX(Scoring!AN6:AN45),0)</f>
        <v>2600000</v>
      </c>
    </row>
    <row r="25" spans="1:5" x14ac:dyDescent="0.2">
      <c r="A25" t="s">
        <v>250</v>
      </c>
      <c r="B25">
        <f>IFERROR(MAX(Scoring!AO6:AO45),0)</f>
        <v>2500000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opLeftCell="E1" zoomScaleNormal="100" workbookViewId="0">
      <pane ySplit="5" topLeftCell="A6" activePane="bottomLeft" state="frozen"/>
      <selection pane="bottomLeft" activeCell="F16" sqref="F16"/>
    </sheetView>
  </sheetViews>
  <sheetFormatPr baseColWidth="10" defaultColWidth="8.83203125" defaultRowHeight="15" customHeight="1" x14ac:dyDescent="0.2"/>
  <cols>
    <col min="1" max="1" width="12" customWidth="1"/>
    <col min="2" max="2" width="16" customWidth="1"/>
    <col min="3" max="3" width="18" customWidth="1"/>
    <col min="4" max="4" width="14" customWidth="1"/>
    <col min="5" max="5" width="9" customWidth="1"/>
    <col min="6" max="6" width="16" customWidth="1"/>
    <col min="7" max="8" width="22" customWidth="1"/>
    <col min="9" max="9" width="48" customWidth="1"/>
    <col min="10" max="10" width="50" customWidth="1"/>
    <col min="11" max="11" width="6" customWidth="1"/>
  </cols>
  <sheetData>
    <row r="1" spans="1:11" ht="31.5" customHeight="1" x14ac:dyDescent="0.2">
      <c r="A1" s="59" t="s">
        <v>22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5" customHeight="1" x14ac:dyDescent="0.2">
      <c r="A2" s="60" t="s">
        <v>23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x14ac:dyDescent="0.2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</row>
    <row r="5" spans="1:11" ht="16" x14ac:dyDescent="0.2">
      <c r="A5" s="12" t="s">
        <v>24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3" t="s">
        <v>34</v>
      </c>
    </row>
    <row r="6" spans="1:11" x14ac:dyDescent="0.2">
      <c r="A6" t="str">
        <f>Scoring!D6</f>
        <v>D001</v>
      </c>
      <c r="B6" t="str">
        <f>Scoring!A6</f>
        <v>Maersk</v>
      </c>
      <c r="C6" t="str">
        <f>Scoring!B6</f>
        <v>AVS</v>
      </c>
      <c r="D6">
        <f>Scoring!E6</f>
        <v>2500000</v>
      </c>
      <c r="E6">
        <f ca="1">Scoring!Z6</f>
        <v>87</v>
      </c>
      <c r="F6" t="str">
        <f ca="1">Scoring!AA6</f>
        <v>Nízké riziko</v>
      </c>
      <c r="G6" t="str">
        <f ca="1">Scoring!AD6</f>
        <v>Financovat</v>
      </c>
      <c r="H6" t="str">
        <f>Scoring!AL6</f>
        <v>EARLY STAGE EXCEPTION</v>
      </c>
      <c r="I6" t="str">
        <f ca="1">Scoring!AR6</f>
        <v>Schválit s výhradou (koncentrace / early stage)</v>
      </c>
      <c r="J6" t="str">
        <f ca="1">Scoring!AS6</f>
        <v>87 b | Nízké riziko | Financovat | gate OK | rating AA</v>
      </c>
      <c r="K6" s="14">
        <f ca="1">Scoring!AQ6</f>
        <v>2</v>
      </c>
    </row>
    <row r="7" spans="1:11" x14ac:dyDescent="0.2">
      <c r="A7" t="str">
        <f>Scoring!D7</f>
        <v>D002</v>
      </c>
      <c r="B7" t="str">
        <f>Scoring!A7</f>
        <v>Anchor B</v>
      </c>
      <c r="C7" t="str">
        <f>Scoring!B7</f>
        <v>Dodavatel B</v>
      </c>
      <c r="D7">
        <f>Scoring!E7</f>
        <v>900000</v>
      </c>
      <c r="E7">
        <f ca="1">Scoring!Z7</f>
        <v>34</v>
      </c>
      <c r="F7" t="str">
        <f ca="1">Scoring!AA7</f>
        <v>Stop</v>
      </c>
      <c r="G7" t="str">
        <f ca="1">Scoring!AD7</f>
        <v>Stop</v>
      </c>
      <c r="H7" t="str">
        <f>Scoring!AL7</f>
        <v>EARLY STAGE EXCEPTION</v>
      </c>
      <c r="I7" t="str">
        <f ca="1">Scoring!AR7</f>
        <v>STOP</v>
      </c>
      <c r="J7" t="str">
        <f ca="1">Scoring!AS7</f>
        <v>34 b | Stop | Stop | gate MANUAL | rating BB</v>
      </c>
      <c r="K7" s="14">
        <f ca="1">Scoring!AQ7</f>
        <v>5</v>
      </c>
    </row>
    <row r="8" spans="1:11" x14ac:dyDescent="0.2">
      <c r="A8" t="str">
        <f>Scoring!D8</f>
        <v>D003</v>
      </c>
      <c r="B8" t="str">
        <f>Scoring!A8</f>
        <v>Anchor C</v>
      </c>
      <c r="C8" t="str">
        <f>Scoring!B8</f>
        <v>Dodavatel C</v>
      </c>
      <c r="D8">
        <f>Scoring!E8</f>
        <v>200000</v>
      </c>
      <c r="E8">
        <f ca="1">Scoring!Z8</f>
        <v>71</v>
      </c>
      <c r="F8" t="str">
        <f ca="1">Scoring!AA8</f>
        <v>Střední riziko</v>
      </c>
      <c r="G8" t="str">
        <f ca="1">Scoring!AD8</f>
        <v>Financovat s limitem</v>
      </c>
      <c r="H8" t="str">
        <f>Scoring!AL8</f>
        <v>EARLY STAGE EXCEPTION</v>
      </c>
      <c r="I8" t="str">
        <f ca="1">Scoring!AR8</f>
        <v>Schválit s výhradou (koncentrace / early stage)</v>
      </c>
      <c r="J8" t="str">
        <f ca="1">Scoring!AS8</f>
        <v>71 b | Střední riziko | Financovat s limitem | gate OK | rating BBB</v>
      </c>
      <c r="K8" s="14">
        <f ca="1">Scoring!AQ8</f>
        <v>2</v>
      </c>
    </row>
    <row r="9" spans="1:11" x14ac:dyDescent="0.2">
      <c r="A9" t="str">
        <f>Scoring!D9</f>
        <v>D004</v>
      </c>
      <c r="B9" t="str">
        <f>Scoring!A9</f>
        <v>Maersk</v>
      </c>
      <c r="C9" t="str">
        <f>Scoring!B9</f>
        <v>Dodavatel C</v>
      </c>
      <c r="D9">
        <f>Scoring!E9</f>
        <v>100000</v>
      </c>
      <c r="E9">
        <f ca="1">Scoring!Z9</f>
        <v>89</v>
      </c>
      <c r="F9" t="str">
        <f ca="1">Scoring!AA9</f>
        <v>Nízké riziko</v>
      </c>
      <c r="G9" t="str">
        <f ca="1">Scoring!AD9</f>
        <v>Financovat</v>
      </c>
      <c r="H9" t="str">
        <f>Scoring!AL9</f>
        <v>EARLY STAGE EXCEPTION</v>
      </c>
      <c r="I9" t="str">
        <f ca="1">Scoring!AR9</f>
        <v>Schválit s výhradou (koncentrace / early stage)</v>
      </c>
      <c r="J9" t="str">
        <f ca="1">Scoring!AS9</f>
        <v>89 b | Nízké riziko | Financovat | gate OK | rating AA</v>
      </c>
      <c r="K9" s="14">
        <f ca="1">Scoring!AQ9</f>
        <v>2</v>
      </c>
    </row>
    <row r="10" spans="1:11" x14ac:dyDescent="0.2">
      <c r="A10" t="str">
        <f>Scoring!D10</f>
        <v>D005</v>
      </c>
      <c r="B10" t="str">
        <f>Scoring!A10</f>
        <v>Maersk</v>
      </c>
      <c r="C10" t="str">
        <f>Scoring!B10</f>
        <v>AVS</v>
      </c>
      <c r="D10">
        <f>Scoring!E10</f>
        <v>200000</v>
      </c>
      <c r="E10">
        <f ca="1">Scoring!Z10</f>
        <v>89</v>
      </c>
      <c r="F10" t="str">
        <f ca="1">Scoring!AA10</f>
        <v>Nízké riziko</v>
      </c>
      <c r="G10" t="str">
        <f ca="1">Scoring!AD10</f>
        <v>Financovat</v>
      </c>
      <c r="H10" t="str">
        <f>Scoring!AL10</f>
        <v>EARLY STAGE EXCEPTION</v>
      </c>
      <c r="I10" t="str">
        <f ca="1">Scoring!AR10</f>
        <v>Schválit s výhradou (koncentrace / early stage)</v>
      </c>
      <c r="J10" t="str">
        <f ca="1">Scoring!AS10</f>
        <v>89 b | Nízké riziko | Financovat | gate OK | rating AA</v>
      </c>
      <c r="K10" s="14">
        <f ca="1">Scoring!AQ10</f>
        <v>2</v>
      </c>
    </row>
    <row r="11" spans="1:11" x14ac:dyDescent="0.2">
      <c r="A11" t="str">
        <f>Scoring!D11</f>
        <v>D006</v>
      </c>
      <c r="B11" t="str">
        <f>Scoring!A11</f>
        <v>Tesco</v>
      </c>
      <c r="C11" t="str">
        <f>Scoring!B11</f>
        <v>Bruggy</v>
      </c>
      <c r="D11">
        <f>Scoring!E11</f>
        <v>850000</v>
      </c>
      <c r="E11">
        <f ca="1">Scoring!Z11</f>
        <v>70</v>
      </c>
      <c r="F11" t="str">
        <f ca="1">Scoring!AA11</f>
        <v>Střední riziko</v>
      </c>
      <c r="G11" t="str">
        <f ca="1">Scoring!AD11</f>
        <v>Financovat s limitem</v>
      </c>
      <c r="H11" t="str">
        <f>Scoring!AL11</f>
        <v>EARLY STAGE EXCEPTION</v>
      </c>
      <c r="I11" t="str">
        <f ca="1">Scoring!AR11</f>
        <v>Schválit s výhradou (koncentrace / early stage)</v>
      </c>
      <c r="J11" t="str">
        <f ca="1">Scoring!AS11</f>
        <v>70 b | Střední riziko | Financovat s limitem | gate OK | rating A</v>
      </c>
      <c r="K11">
        <f ca="1">Scoring!AQ11</f>
        <v>2</v>
      </c>
    </row>
    <row r="12" spans="1:11" x14ac:dyDescent="0.2">
      <c r="A12" t="str">
        <f>Scoring!D12</f>
        <v>D007</v>
      </c>
      <c r="B12" t="str">
        <f>Scoring!A12</f>
        <v>Maersk</v>
      </c>
      <c r="C12" t="str">
        <f>Scoring!B12</f>
        <v>AVS</v>
      </c>
      <c r="D12">
        <f>Scoring!E12</f>
        <v>200000</v>
      </c>
      <c r="E12">
        <f ca="1">Scoring!Z12</f>
        <v>89</v>
      </c>
      <c r="F12" t="str">
        <f ca="1">Scoring!AA12</f>
        <v>Nízké riziko</v>
      </c>
      <c r="G12" t="str">
        <f ca="1">Scoring!AD12</f>
        <v>Financovat</v>
      </c>
      <c r="H12" t="str">
        <f>Scoring!AL12</f>
        <v>EARLY STAGE EXCEPTION</v>
      </c>
      <c r="I12" t="str">
        <f ca="1">Scoring!AR12</f>
        <v>Schválit s výhradou (koncentrace / early stage)</v>
      </c>
      <c r="J12" t="str">
        <f ca="1">Scoring!AS12</f>
        <v>89 b | Nízké riziko | Financovat | gate OK | rating AA</v>
      </c>
      <c r="K12">
        <f ca="1">Scoring!AQ12</f>
        <v>2</v>
      </c>
    </row>
    <row r="13" spans="1:11" x14ac:dyDescent="0.2">
      <c r="A13" t="str">
        <f>Scoring!D13</f>
        <v>D008</v>
      </c>
      <c r="B13" t="str">
        <f>Scoring!A13</f>
        <v>Tesco</v>
      </c>
      <c r="C13" t="str">
        <f>Scoring!B13</f>
        <v>Bruggy</v>
      </c>
      <c r="D13">
        <f>Scoring!E13</f>
        <v>850000</v>
      </c>
      <c r="E13">
        <f ca="1">Scoring!Z13</f>
        <v>70</v>
      </c>
      <c r="F13" t="str">
        <f ca="1">Scoring!AA13</f>
        <v>Střední riziko</v>
      </c>
      <c r="G13" t="str">
        <f ca="1">Scoring!AD13</f>
        <v>Financovat s limitem</v>
      </c>
      <c r="H13" t="str">
        <f>Scoring!AL13</f>
        <v>EARLY STAGE EXCEPTION</v>
      </c>
      <c r="I13" t="str">
        <f ca="1">Scoring!AR13</f>
        <v>Schválit s výhradou (koncentrace / early stage)</v>
      </c>
      <c r="J13" t="str">
        <f ca="1">Scoring!AS13</f>
        <v>70 b | Střední riziko | Financovat s limitem | gate OK | rating A</v>
      </c>
      <c r="K13">
        <f ca="1">Scoring!AQ13</f>
        <v>2</v>
      </c>
    </row>
    <row r="14" spans="1:11" x14ac:dyDescent="0.2">
      <c r="A14">
        <f>Scoring!D14</f>
        <v>0</v>
      </c>
      <c r="B14">
        <f>Scoring!A14</f>
        <v>0</v>
      </c>
      <c r="C14">
        <f>Scoring!B14</f>
        <v>0</v>
      </c>
      <c r="D14">
        <f>Scoring!E14</f>
        <v>0</v>
      </c>
      <c r="E14" t="str">
        <f>Scoring!Z14</f>
        <v/>
      </c>
      <c r="F14" t="str">
        <f>Scoring!AA14</f>
        <v/>
      </c>
      <c r="G14" t="str">
        <f>Scoring!AD14</f>
        <v/>
      </c>
      <c r="H14" t="str">
        <f>Scoring!AL14</f>
        <v/>
      </c>
      <c r="I14" t="str">
        <f>Scoring!AR14</f>
        <v/>
      </c>
      <c r="J14" t="str">
        <f>Scoring!AS14</f>
        <v/>
      </c>
      <c r="K14" t="str">
        <f>Scoring!AQ14</f>
        <v/>
      </c>
    </row>
    <row r="15" spans="1:11" x14ac:dyDescent="0.2">
      <c r="A15">
        <f>Scoring!D15</f>
        <v>0</v>
      </c>
      <c r="B15">
        <f>Scoring!A15</f>
        <v>0</v>
      </c>
      <c r="C15">
        <f>Scoring!B15</f>
        <v>0</v>
      </c>
      <c r="D15">
        <f>Scoring!E15</f>
        <v>0</v>
      </c>
      <c r="E15" t="str">
        <f>Scoring!Z15</f>
        <v/>
      </c>
      <c r="F15" t="str">
        <f>Scoring!AA15</f>
        <v/>
      </c>
      <c r="G15" t="str">
        <f>Scoring!AD15</f>
        <v/>
      </c>
      <c r="H15" t="str">
        <f>Scoring!AL15</f>
        <v/>
      </c>
      <c r="I15" t="str">
        <f>Scoring!AR15</f>
        <v/>
      </c>
      <c r="J15" t="str">
        <f>Scoring!AS15</f>
        <v/>
      </c>
      <c r="K15" t="str">
        <f>Scoring!AQ15</f>
        <v/>
      </c>
    </row>
    <row r="16" spans="1:11" x14ac:dyDescent="0.2">
      <c r="A16">
        <f>Scoring!D16</f>
        <v>0</v>
      </c>
      <c r="B16">
        <f>Scoring!A16</f>
        <v>0</v>
      </c>
      <c r="C16">
        <f>Scoring!B16</f>
        <v>0</v>
      </c>
      <c r="D16">
        <f>Scoring!E16</f>
        <v>0</v>
      </c>
      <c r="E16" t="str">
        <f>Scoring!Z16</f>
        <v/>
      </c>
      <c r="F16" t="str">
        <f>Scoring!AA16</f>
        <v/>
      </c>
      <c r="G16" t="str">
        <f>Scoring!AD16</f>
        <v/>
      </c>
      <c r="H16" t="str">
        <f>Scoring!AL16</f>
        <v/>
      </c>
      <c r="I16" t="str">
        <f>Scoring!AR16</f>
        <v/>
      </c>
      <c r="J16" t="str">
        <f>Scoring!AS16</f>
        <v/>
      </c>
      <c r="K16" t="str">
        <f>Scoring!AQ16</f>
        <v/>
      </c>
    </row>
    <row r="17" spans="1:11" x14ac:dyDescent="0.2">
      <c r="A17">
        <f>Scoring!D17</f>
        <v>0</v>
      </c>
      <c r="B17">
        <f>Scoring!A17</f>
        <v>0</v>
      </c>
      <c r="C17">
        <f>Scoring!B17</f>
        <v>0</v>
      </c>
      <c r="D17">
        <f>Scoring!E17</f>
        <v>0</v>
      </c>
      <c r="E17" t="str">
        <f>Scoring!Z17</f>
        <v/>
      </c>
      <c r="F17" t="str">
        <f>Scoring!AA17</f>
        <v/>
      </c>
      <c r="G17" t="str">
        <f>Scoring!AD17</f>
        <v/>
      </c>
      <c r="H17" t="str">
        <f>Scoring!AL17</f>
        <v/>
      </c>
      <c r="I17" t="str">
        <f>Scoring!AR17</f>
        <v/>
      </c>
      <c r="J17" t="str">
        <f>Scoring!AS17</f>
        <v/>
      </c>
      <c r="K17" t="str">
        <f>Scoring!AQ17</f>
        <v/>
      </c>
    </row>
    <row r="18" spans="1:11" x14ac:dyDescent="0.2">
      <c r="A18">
        <f>Scoring!D18</f>
        <v>0</v>
      </c>
      <c r="B18">
        <f>Scoring!A18</f>
        <v>0</v>
      </c>
      <c r="C18">
        <f>Scoring!B18</f>
        <v>0</v>
      </c>
      <c r="D18">
        <f>Scoring!E18</f>
        <v>0</v>
      </c>
      <c r="E18" t="str">
        <f>Scoring!Z18</f>
        <v/>
      </c>
      <c r="F18" t="str">
        <f>Scoring!AA18</f>
        <v/>
      </c>
      <c r="G18" t="str">
        <f>Scoring!AD18</f>
        <v/>
      </c>
      <c r="H18" t="str">
        <f>Scoring!AL18</f>
        <v/>
      </c>
      <c r="I18" t="str">
        <f>Scoring!AR18</f>
        <v/>
      </c>
      <c r="J18" t="str">
        <f>Scoring!AS18</f>
        <v/>
      </c>
      <c r="K18" t="str">
        <f>Scoring!AQ18</f>
        <v/>
      </c>
    </row>
    <row r="19" spans="1:11" x14ac:dyDescent="0.2">
      <c r="A19">
        <f>Scoring!D19</f>
        <v>0</v>
      </c>
      <c r="B19">
        <f>Scoring!A19</f>
        <v>0</v>
      </c>
      <c r="C19">
        <f>Scoring!B19</f>
        <v>0</v>
      </c>
      <c r="D19">
        <f>Scoring!E19</f>
        <v>0</v>
      </c>
      <c r="E19" t="str">
        <f>Scoring!Z19</f>
        <v/>
      </c>
      <c r="F19" t="str">
        <f>Scoring!AA19</f>
        <v/>
      </c>
      <c r="G19" t="str">
        <f>Scoring!AD19</f>
        <v/>
      </c>
      <c r="H19" t="str">
        <f>Scoring!AL19</f>
        <v/>
      </c>
      <c r="I19" t="str">
        <f>Scoring!AR19</f>
        <v/>
      </c>
      <c r="J19" t="str">
        <f>Scoring!AS19</f>
        <v/>
      </c>
      <c r="K19" t="str">
        <f>Scoring!AQ19</f>
        <v/>
      </c>
    </row>
    <row r="20" spans="1:11" x14ac:dyDescent="0.2">
      <c r="A20">
        <f>Scoring!D20</f>
        <v>0</v>
      </c>
      <c r="B20">
        <f>Scoring!A20</f>
        <v>0</v>
      </c>
      <c r="C20">
        <f>Scoring!B20</f>
        <v>0</v>
      </c>
      <c r="D20">
        <f>Scoring!E20</f>
        <v>0</v>
      </c>
      <c r="E20" t="str">
        <f>Scoring!Z20</f>
        <v/>
      </c>
      <c r="F20" t="str">
        <f>Scoring!AA20</f>
        <v/>
      </c>
      <c r="G20" t="str">
        <f>Scoring!AD20</f>
        <v/>
      </c>
      <c r="H20" t="str">
        <f>Scoring!AL20</f>
        <v/>
      </c>
      <c r="I20" t="str">
        <f>Scoring!AR20</f>
        <v/>
      </c>
      <c r="J20" t="str">
        <f>Scoring!AS20</f>
        <v/>
      </c>
      <c r="K20" t="str">
        <f>Scoring!AQ20</f>
        <v/>
      </c>
    </row>
    <row r="21" spans="1:11" x14ac:dyDescent="0.2">
      <c r="A21">
        <f>Scoring!D21</f>
        <v>0</v>
      </c>
      <c r="B21">
        <f>Scoring!A21</f>
        <v>0</v>
      </c>
      <c r="C21">
        <f>Scoring!B21</f>
        <v>0</v>
      </c>
      <c r="D21">
        <f>Scoring!E21</f>
        <v>0</v>
      </c>
      <c r="E21" t="str">
        <f>Scoring!Z21</f>
        <v/>
      </c>
      <c r="F21" t="str">
        <f>Scoring!AA21</f>
        <v/>
      </c>
      <c r="G21" t="str">
        <f>Scoring!AD21</f>
        <v/>
      </c>
      <c r="H21" t="str">
        <f>Scoring!AL21</f>
        <v/>
      </c>
      <c r="I21" t="str">
        <f>Scoring!AR21</f>
        <v/>
      </c>
      <c r="J21" t="str">
        <f>Scoring!AS21</f>
        <v/>
      </c>
      <c r="K21" t="str">
        <f>Scoring!AQ21</f>
        <v/>
      </c>
    </row>
    <row r="22" spans="1:11" x14ac:dyDescent="0.2">
      <c r="A22">
        <f>Scoring!D22</f>
        <v>0</v>
      </c>
      <c r="B22">
        <f>Scoring!A22</f>
        <v>0</v>
      </c>
      <c r="C22">
        <f>Scoring!B22</f>
        <v>0</v>
      </c>
      <c r="D22">
        <f>Scoring!E22</f>
        <v>0</v>
      </c>
      <c r="E22" t="str">
        <f>Scoring!Z22</f>
        <v/>
      </c>
      <c r="F22" t="str">
        <f>Scoring!AA22</f>
        <v/>
      </c>
      <c r="G22" t="str">
        <f>Scoring!AD22</f>
        <v/>
      </c>
      <c r="H22" t="str">
        <f>Scoring!AL22</f>
        <v/>
      </c>
      <c r="I22" t="str">
        <f>Scoring!AR22</f>
        <v/>
      </c>
      <c r="J22" t="str">
        <f>Scoring!AS22</f>
        <v/>
      </c>
      <c r="K22" t="str">
        <f>Scoring!AQ22</f>
        <v/>
      </c>
    </row>
    <row r="23" spans="1:11" x14ac:dyDescent="0.2">
      <c r="A23">
        <f>Scoring!D23</f>
        <v>0</v>
      </c>
      <c r="B23">
        <f>Scoring!A23</f>
        <v>0</v>
      </c>
      <c r="C23">
        <f>Scoring!B23</f>
        <v>0</v>
      </c>
      <c r="D23">
        <f>Scoring!E23</f>
        <v>0</v>
      </c>
      <c r="E23" t="str">
        <f>Scoring!Z23</f>
        <v/>
      </c>
      <c r="F23" t="str">
        <f>Scoring!AA23</f>
        <v/>
      </c>
      <c r="G23" t="str">
        <f>Scoring!AD23</f>
        <v/>
      </c>
      <c r="H23" t="str">
        <f>Scoring!AL23</f>
        <v/>
      </c>
      <c r="I23" t="str">
        <f>Scoring!AR23</f>
        <v/>
      </c>
      <c r="J23" t="str">
        <f>Scoring!AS23</f>
        <v/>
      </c>
      <c r="K23" t="str">
        <f>Scoring!AQ23</f>
        <v/>
      </c>
    </row>
    <row r="24" spans="1:11" x14ac:dyDescent="0.2">
      <c r="A24">
        <f>Scoring!D24</f>
        <v>0</v>
      </c>
      <c r="B24">
        <f>Scoring!A24</f>
        <v>0</v>
      </c>
      <c r="C24">
        <f>Scoring!B24</f>
        <v>0</v>
      </c>
      <c r="D24">
        <f>Scoring!E24</f>
        <v>0</v>
      </c>
      <c r="E24" t="str">
        <f>Scoring!Z24</f>
        <v/>
      </c>
      <c r="F24" t="str">
        <f>Scoring!AA24</f>
        <v/>
      </c>
      <c r="G24" t="str">
        <f>Scoring!AD24</f>
        <v/>
      </c>
      <c r="H24" t="str">
        <f>Scoring!AL24</f>
        <v/>
      </c>
      <c r="I24" t="str">
        <f>Scoring!AR24</f>
        <v/>
      </c>
      <c r="J24" t="str">
        <f>Scoring!AS24</f>
        <v/>
      </c>
      <c r="K24" t="str">
        <f>Scoring!AQ24</f>
        <v/>
      </c>
    </row>
    <row r="25" spans="1:11" x14ac:dyDescent="0.2">
      <c r="A25">
        <f>Scoring!D25</f>
        <v>0</v>
      </c>
      <c r="B25">
        <f>Scoring!A25</f>
        <v>0</v>
      </c>
      <c r="C25">
        <f>Scoring!B25</f>
        <v>0</v>
      </c>
      <c r="D25">
        <f>Scoring!E25</f>
        <v>0</v>
      </c>
      <c r="E25" t="str">
        <f>Scoring!Z25</f>
        <v/>
      </c>
      <c r="F25" t="str">
        <f>Scoring!AA25</f>
        <v/>
      </c>
      <c r="G25" t="str">
        <f>Scoring!AD25</f>
        <v/>
      </c>
      <c r="H25" t="str">
        <f>Scoring!AL25</f>
        <v/>
      </c>
      <c r="I25" t="str">
        <f>Scoring!AR25</f>
        <v/>
      </c>
      <c r="J25" t="str">
        <f>Scoring!AS25</f>
        <v/>
      </c>
      <c r="K25" t="str">
        <f>Scoring!AQ25</f>
        <v/>
      </c>
    </row>
    <row r="26" spans="1:11" x14ac:dyDescent="0.2">
      <c r="A26">
        <f>Scoring!D26</f>
        <v>0</v>
      </c>
      <c r="B26">
        <f>Scoring!A26</f>
        <v>0</v>
      </c>
      <c r="C26">
        <f>Scoring!B26</f>
        <v>0</v>
      </c>
      <c r="D26">
        <f>Scoring!E26</f>
        <v>0</v>
      </c>
      <c r="E26" t="str">
        <f>Scoring!Z26</f>
        <v/>
      </c>
      <c r="F26" t="str">
        <f>Scoring!AA26</f>
        <v/>
      </c>
      <c r="G26" t="str">
        <f>Scoring!AD26</f>
        <v/>
      </c>
      <c r="H26" t="str">
        <f>Scoring!AL26</f>
        <v/>
      </c>
      <c r="I26" t="str">
        <f>Scoring!AR26</f>
        <v/>
      </c>
      <c r="J26" t="str">
        <f>Scoring!AS26</f>
        <v/>
      </c>
      <c r="K26" t="str">
        <f>Scoring!AQ26</f>
        <v/>
      </c>
    </row>
    <row r="27" spans="1:11" x14ac:dyDescent="0.2">
      <c r="A27">
        <f>Scoring!D27</f>
        <v>0</v>
      </c>
      <c r="B27">
        <f>Scoring!A27</f>
        <v>0</v>
      </c>
      <c r="C27">
        <f>Scoring!B27</f>
        <v>0</v>
      </c>
      <c r="D27">
        <f>Scoring!E27</f>
        <v>0</v>
      </c>
      <c r="E27" t="str">
        <f>Scoring!Z27</f>
        <v/>
      </c>
      <c r="F27" t="str">
        <f>Scoring!AA27</f>
        <v/>
      </c>
      <c r="G27" t="str">
        <f>Scoring!AD27</f>
        <v/>
      </c>
      <c r="H27" t="str">
        <f>Scoring!AL27</f>
        <v/>
      </c>
      <c r="I27" t="str">
        <f>Scoring!AR27</f>
        <v/>
      </c>
      <c r="J27" t="str">
        <f>Scoring!AS27</f>
        <v/>
      </c>
      <c r="K27" t="str">
        <f>Scoring!AQ27</f>
        <v/>
      </c>
    </row>
    <row r="28" spans="1:11" x14ac:dyDescent="0.2">
      <c r="A28">
        <f>Scoring!D28</f>
        <v>0</v>
      </c>
      <c r="B28">
        <f>Scoring!A28</f>
        <v>0</v>
      </c>
      <c r="C28">
        <f>Scoring!B28</f>
        <v>0</v>
      </c>
      <c r="D28">
        <f>Scoring!E28</f>
        <v>0</v>
      </c>
      <c r="E28" t="str">
        <f>Scoring!Z28</f>
        <v/>
      </c>
      <c r="F28" t="str">
        <f>Scoring!AA28</f>
        <v/>
      </c>
      <c r="G28" t="str">
        <f>Scoring!AD28</f>
        <v/>
      </c>
      <c r="H28" t="str">
        <f>Scoring!AL28</f>
        <v/>
      </c>
      <c r="I28" t="str">
        <f>Scoring!AR28</f>
        <v/>
      </c>
      <c r="J28" t="str">
        <f>Scoring!AS28</f>
        <v/>
      </c>
      <c r="K28" t="str">
        <f>Scoring!AQ28</f>
        <v/>
      </c>
    </row>
    <row r="29" spans="1:11" x14ac:dyDescent="0.2">
      <c r="A29">
        <f>Scoring!D29</f>
        <v>0</v>
      </c>
      <c r="B29">
        <f>Scoring!A29</f>
        <v>0</v>
      </c>
      <c r="C29">
        <f>Scoring!B29</f>
        <v>0</v>
      </c>
      <c r="D29">
        <f>Scoring!E29</f>
        <v>0</v>
      </c>
      <c r="E29" t="str">
        <f>Scoring!Z29</f>
        <v/>
      </c>
      <c r="F29" t="str">
        <f>Scoring!AA29</f>
        <v/>
      </c>
      <c r="G29" t="str">
        <f>Scoring!AD29</f>
        <v/>
      </c>
      <c r="H29" t="str">
        <f>Scoring!AL29</f>
        <v/>
      </c>
      <c r="I29" t="str">
        <f>Scoring!AR29</f>
        <v/>
      </c>
      <c r="J29" t="str">
        <f>Scoring!AS29</f>
        <v/>
      </c>
      <c r="K29" t="str">
        <f>Scoring!AQ29</f>
        <v/>
      </c>
    </row>
    <row r="30" spans="1:11" x14ac:dyDescent="0.2">
      <c r="A30">
        <f>Scoring!D30</f>
        <v>0</v>
      </c>
      <c r="B30">
        <f>Scoring!A30</f>
        <v>0</v>
      </c>
      <c r="C30">
        <f>Scoring!B30</f>
        <v>0</v>
      </c>
      <c r="D30">
        <f>Scoring!E30</f>
        <v>0</v>
      </c>
      <c r="E30" t="str">
        <f>Scoring!Z30</f>
        <v/>
      </c>
      <c r="F30" t="str">
        <f>Scoring!AA30</f>
        <v/>
      </c>
      <c r="G30" t="str">
        <f>Scoring!AD30</f>
        <v/>
      </c>
      <c r="H30" t="str">
        <f>Scoring!AL30</f>
        <v/>
      </c>
      <c r="I30" t="str">
        <f>Scoring!AR30</f>
        <v/>
      </c>
      <c r="J30" t="str">
        <f>Scoring!AS30</f>
        <v/>
      </c>
      <c r="K30" t="str">
        <f>Scoring!AQ30</f>
        <v/>
      </c>
    </row>
    <row r="31" spans="1:11" x14ac:dyDescent="0.2">
      <c r="A31">
        <f>Scoring!D31</f>
        <v>0</v>
      </c>
      <c r="B31">
        <f>Scoring!A31</f>
        <v>0</v>
      </c>
      <c r="C31">
        <f>Scoring!B31</f>
        <v>0</v>
      </c>
      <c r="D31">
        <f>Scoring!E31</f>
        <v>0</v>
      </c>
      <c r="E31" t="str">
        <f>Scoring!Z31</f>
        <v/>
      </c>
      <c r="F31" t="str">
        <f>Scoring!AA31</f>
        <v/>
      </c>
      <c r="G31" t="str">
        <f>Scoring!AD31</f>
        <v/>
      </c>
      <c r="H31" t="str">
        <f>Scoring!AL31</f>
        <v/>
      </c>
      <c r="I31" t="str">
        <f>Scoring!AR31</f>
        <v/>
      </c>
      <c r="J31" t="str">
        <f>Scoring!AS31</f>
        <v/>
      </c>
      <c r="K31" t="str">
        <f>Scoring!AQ31</f>
        <v/>
      </c>
    </row>
    <row r="32" spans="1:11" x14ac:dyDescent="0.2">
      <c r="A32">
        <f>Scoring!D32</f>
        <v>0</v>
      </c>
      <c r="B32">
        <f>Scoring!A32</f>
        <v>0</v>
      </c>
      <c r="C32">
        <f>Scoring!B32</f>
        <v>0</v>
      </c>
      <c r="D32">
        <f>Scoring!E32</f>
        <v>0</v>
      </c>
      <c r="E32" t="str">
        <f>Scoring!Z32</f>
        <v/>
      </c>
      <c r="F32" t="str">
        <f>Scoring!AA32</f>
        <v/>
      </c>
      <c r="G32" t="str">
        <f>Scoring!AD32</f>
        <v/>
      </c>
      <c r="H32" t="str">
        <f>Scoring!AL32</f>
        <v/>
      </c>
      <c r="I32" t="str">
        <f>Scoring!AR32</f>
        <v/>
      </c>
      <c r="J32" t="str">
        <f>Scoring!AS32</f>
        <v/>
      </c>
      <c r="K32" t="str">
        <f>Scoring!AQ32</f>
        <v/>
      </c>
    </row>
    <row r="33" spans="1:11" x14ac:dyDescent="0.2">
      <c r="A33">
        <f>Scoring!D33</f>
        <v>0</v>
      </c>
      <c r="B33">
        <f>Scoring!A33</f>
        <v>0</v>
      </c>
      <c r="C33">
        <f>Scoring!B33</f>
        <v>0</v>
      </c>
      <c r="D33">
        <f>Scoring!E33</f>
        <v>0</v>
      </c>
      <c r="E33" t="str">
        <f>Scoring!Z33</f>
        <v/>
      </c>
      <c r="F33" t="str">
        <f>Scoring!AA33</f>
        <v/>
      </c>
      <c r="G33" t="str">
        <f>Scoring!AD33</f>
        <v/>
      </c>
      <c r="H33" t="str">
        <f>Scoring!AL33</f>
        <v/>
      </c>
      <c r="I33" t="str">
        <f>Scoring!AR33</f>
        <v/>
      </c>
      <c r="J33" t="str">
        <f>Scoring!AS33</f>
        <v/>
      </c>
      <c r="K33" t="str">
        <f>Scoring!AQ33</f>
        <v/>
      </c>
    </row>
    <row r="34" spans="1:11" x14ac:dyDescent="0.2">
      <c r="A34">
        <f>Scoring!D34</f>
        <v>0</v>
      </c>
      <c r="B34">
        <f>Scoring!A34</f>
        <v>0</v>
      </c>
      <c r="C34">
        <f>Scoring!B34</f>
        <v>0</v>
      </c>
      <c r="D34">
        <f>Scoring!E34</f>
        <v>0</v>
      </c>
      <c r="E34" t="str">
        <f>Scoring!Z34</f>
        <v/>
      </c>
      <c r="F34" t="str">
        <f>Scoring!AA34</f>
        <v/>
      </c>
      <c r="G34" t="str">
        <f>Scoring!AD34</f>
        <v/>
      </c>
      <c r="H34" t="str">
        <f>Scoring!AL34</f>
        <v/>
      </c>
      <c r="I34" t="str">
        <f>Scoring!AR34</f>
        <v/>
      </c>
      <c r="J34" t="str">
        <f>Scoring!AS34</f>
        <v/>
      </c>
      <c r="K34" t="str">
        <f>Scoring!AQ34</f>
        <v/>
      </c>
    </row>
    <row r="35" spans="1:11" x14ac:dyDescent="0.2">
      <c r="A35">
        <f>Scoring!D35</f>
        <v>0</v>
      </c>
      <c r="B35">
        <f>Scoring!A35</f>
        <v>0</v>
      </c>
      <c r="C35">
        <f>Scoring!B35</f>
        <v>0</v>
      </c>
      <c r="D35">
        <f>Scoring!E35</f>
        <v>0</v>
      </c>
      <c r="E35" t="str">
        <f>Scoring!Z35</f>
        <v/>
      </c>
      <c r="F35" t="str">
        <f>Scoring!AA35</f>
        <v/>
      </c>
      <c r="G35" t="str">
        <f>Scoring!AD35</f>
        <v/>
      </c>
      <c r="H35" t="str">
        <f>Scoring!AL35</f>
        <v/>
      </c>
      <c r="I35" t="str">
        <f>Scoring!AR35</f>
        <v/>
      </c>
      <c r="J35" t="str">
        <f>Scoring!AS35</f>
        <v/>
      </c>
      <c r="K35" t="str">
        <f>Scoring!AQ35</f>
        <v/>
      </c>
    </row>
    <row r="36" spans="1:11" x14ac:dyDescent="0.2">
      <c r="A36">
        <f>Scoring!D36</f>
        <v>0</v>
      </c>
      <c r="B36">
        <f>Scoring!A36</f>
        <v>0</v>
      </c>
      <c r="C36">
        <f>Scoring!B36</f>
        <v>0</v>
      </c>
      <c r="D36">
        <f>Scoring!E36</f>
        <v>0</v>
      </c>
      <c r="E36" t="str">
        <f>Scoring!Z36</f>
        <v/>
      </c>
      <c r="F36" t="str">
        <f>Scoring!AA36</f>
        <v/>
      </c>
      <c r="G36" t="str">
        <f>Scoring!AD36</f>
        <v/>
      </c>
      <c r="H36" t="str">
        <f>Scoring!AL36</f>
        <v/>
      </c>
      <c r="I36" t="str">
        <f>Scoring!AR36</f>
        <v/>
      </c>
      <c r="J36" t="str">
        <f>Scoring!AS36</f>
        <v/>
      </c>
      <c r="K36" t="str">
        <f>Scoring!AQ36</f>
        <v/>
      </c>
    </row>
    <row r="37" spans="1:11" x14ac:dyDescent="0.2">
      <c r="A37">
        <f>Scoring!D37</f>
        <v>0</v>
      </c>
      <c r="B37">
        <f>Scoring!A37</f>
        <v>0</v>
      </c>
      <c r="C37">
        <f>Scoring!B37</f>
        <v>0</v>
      </c>
      <c r="D37">
        <f>Scoring!E37</f>
        <v>0</v>
      </c>
      <c r="E37" t="str">
        <f>Scoring!Z37</f>
        <v/>
      </c>
      <c r="F37" t="str">
        <f>Scoring!AA37</f>
        <v/>
      </c>
      <c r="G37" t="str">
        <f>Scoring!AD37</f>
        <v/>
      </c>
      <c r="H37" t="str">
        <f>Scoring!AL37</f>
        <v/>
      </c>
      <c r="I37" t="str">
        <f>Scoring!AR37</f>
        <v/>
      </c>
      <c r="J37" t="str">
        <f>Scoring!AS37</f>
        <v/>
      </c>
      <c r="K37" t="str">
        <f>Scoring!AQ37</f>
        <v/>
      </c>
    </row>
    <row r="38" spans="1:11" x14ac:dyDescent="0.2">
      <c r="A38">
        <f>Scoring!D38</f>
        <v>0</v>
      </c>
      <c r="B38">
        <f>Scoring!A38</f>
        <v>0</v>
      </c>
      <c r="C38">
        <f>Scoring!B38</f>
        <v>0</v>
      </c>
      <c r="D38">
        <f>Scoring!E38</f>
        <v>0</v>
      </c>
      <c r="E38" t="str">
        <f>Scoring!Z38</f>
        <v/>
      </c>
      <c r="F38" t="str">
        <f>Scoring!AA38</f>
        <v/>
      </c>
      <c r="G38" t="str">
        <f>Scoring!AD38</f>
        <v/>
      </c>
      <c r="H38" t="str">
        <f>Scoring!AL38</f>
        <v/>
      </c>
      <c r="I38" t="str">
        <f>Scoring!AR38</f>
        <v/>
      </c>
      <c r="J38" t="str">
        <f>Scoring!AS38</f>
        <v/>
      </c>
      <c r="K38" t="str">
        <f>Scoring!AQ38</f>
        <v/>
      </c>
    </row>
    <row r="39" spans="1:11" x14ac:dyDescent="0.2">
      <c r="A39">
        <f>Scoring!D39</f>
        <v>0</v>
      </c>
      <c r="B39">
        <f>Scoring!A39</f>
        <v>0</v>
      </c>
      <c r="C39">
        <f>Scoring!B39</f>
        <v>0</v>
      </c>
      <c r="D39">
        <f>Scoring!E39</f>
        <v>0</v>
      </c>
      <c r="E39" t="str">
        <f>Scoring!Z39</f>
        <v/>
      </c>
      <c r="F39" t="str">
        <f>Scoring!AA39</f>
        <v/>
      </c>
      <c r="G39" t="str">
        <f>Scoring!AD39</f>
        <v/>
      </c>
      <c r="H39" t="str">
        <f>Scoring!AL39</f>
        <v/>
      </c>
      <c r="I39" t="str">
        <f>Scoring!AR39</f>
        <v/>
      </c>
      <c r="J39" t="str">
        <f>Scoring!AS39</f>
        <v/>
      </c>
      <c r="K39" t="str">
        <f>Scoring!AQ39</f>
        <v/>
      </c>
    </row>
    <row r="40" spans="1:11" x14ac:dyDescent="0.2">
      <c r="A40">
        <f>Scoring!D40</f>
        <v>0</v>
      </c>
      <c r="B40">
        <f>Scoring!A40</f>
        <v>0</v>
      </c>
      <c r="C40">
        <f>Scoring!B40</f>
        <v>0</v>
      </c>
      <c r="D40">
        <f>Scoring!E40</f>
        <v>0</v>
      </c>
      <c r="E40" t="str">
        <f>Scoring!Z40</f>
        <v/>
      </c>
      <c r="F40" t="str">
        <f>Scoring!AA40</f>
        <v/>
      </c>
      <c r="G40" t="str">
        <f>Scoring!AD40</f>
        <v/>
      </c>
      <c r="H40" t="str">
        <f>Scoring!AL40</f>
        <v/>
      </c>
      <c r="I40" t="str">
        <f>Scoring!AR40</f>
        <v/>
      </c>
      <c r="J40" t="str">
        <f>Scoring!AS40</f>
        <v/>
      </c>
      <c r="K40" t="str">
        <f>Scoring!AQ40</f>
        <v/>
      </c>
    </row>
    <row r="41" spans="1:11" x14ac:dyDescent="0.2">
      <c r="A41">
        <f>Scoring!D41</f>
        <v>0</v>
      </c>
      <c r="B41">
        <f>Scoring!A41</f>
        <v>0</v>
      </c>
      <c r="C41">
        <f>Scoring!B41</f>
        <v>0</v>
      </c>
      <c r="D41">
        <f>Scoring!E41</f>
        <v>0</v>
      </c>
      <c r="E41" t="str">
        <f>Scoring!Z41</f>
        <v/>
      </c>
      <c r="F41" t="str">
        <f>Scoring!AA41</f>
        <v/>
      </c>
      <c r="G41" t="str">
        <f>Scoring!AD41</f>
        <v/>
      </c>
      <c r="H41" t="str">
        <f>Scoring!AL41</f>
        <v/>
      </c>
      <c r="I41" t="str">
        <f>Scoring!AR41</f>
        <v/>
      </c>
      <c r="J41" t="str">
        <f>Scoring!AS41</f>
        <v/>
      </c>
      <c r="K41" t="str">
        <f>Scoring!AQ41</f>
        <v/>
      </c>
    </row>
    <row r="42" spans="1:11" x14ac:dyDescent="0.2">
      <c r="A42">
        <f>Scoring!D42</f>
        <v>0</v>
      </c>
      <c r="B42">
        <f>Scoring!A42</f>
        <v>0</v>
      </c>
      <c r="C42">
        <f>Scoring!B42</f>
        <v>0</v>
      </c>
      <c r="D42">
        <f>Scoring!E42</f>
        <v>0</v>
      </c>
      <c r="E42" t="str">
        <f>Scoring!Z42</f>
        <v/>
      </c>
      <c r="F42" t="str">
        <f>Scoring!AA42</f>
        <v/>
      </c>
      <c r="G42" t="str">
        <f>Scoring!AD42</f>
        <v/>
      </c>
      <c r="H42" t="str">
        <f>Scoring!AL42</f>
        <v/>
      </c>
      <c r="I42" t="str">
        <f>Scoring!AR42</f>
        <v/>
      </c>
      <c r="J42" t="str">
        <f>Scoring!AS42</f>
        <v/>
      </c>
      <c r="K42" t="str">
        <f>Scoring!AQ42</f>
        <v/>
      </c>
    </row>
    <row r="43" spans="1:11" x14ac:dyDescent="0.2">
      <c r="A43">
        <f>Scoring!D43</f>
        <v>0</v>
      </c>
      <c r="B43">
        <f>Scoring!A43</f>
        <v>0</v>
      </c>
      <c r="C43">
        <f>Scoring!B43</f>
        <v>0</v>
      </c>
      <c r="D43">
        <f>Scoring!E43</f>
        <v>0</v>
      </c>
      <c r="E43" t="str">
        <f>Scoring!Z43</f>
        <v/>
      </c>
      <c r="F43" t="str">
        <f>Scoring!AA43</f>
        <v/>
      </c>
      <c r="G43" t="str">
        <f>Scoring!AD43</f>
        <v/>
      </c>
      <c r="H43" t="str">
        <f>Scoring!AL43</f>
        <v/>
      </c>
      <c r="I43" t="str">
        <f>Scoring!AR43</f>
        <v/>
      </c>
      <c r="J43" t="str">
        <f>Scoring!AS43</f>
        <v/>
      </c>
      <c r="K43" t="str">
        <f>Scoring!AQ43</f>
        <v/>
      </c>
    </row>
    <row r="44" spans="1:11" x14ac:dyDescent="0.2">
      <c r="A44">
        <f>Scoring!D44</f>
        <v>0</v>
      </c>
      <c r="B44">
        <f>Scoring!A44</f>
        <v>0</v>
      </c>
      <c r="C44">
        <f>Scoring!B44</f>
        <v>0</v>
      </c>
      <c r="D44">
        <f>Scoring!E44</f>
        <v>0</v>
      </c>
      <c r="E44" t="str">
        <f>Scoring!Z44</f>
        <v/>
      </c>
      <c r="F44" t="str">
        <f>Scoring!AA44</f>
        <v/>
      </c>
      <c r="G44" t="str">
        <f>Scoring!AD44</f>
        <v/>
      </c>
      <c r="H44" t="str">
        <f>Scoring!AL44</f>
        <v/>
      </c>
      <c r="I44" t="str">
        <f>Scoring!AR44</f>
        <v/>
      </c>
      <c r="J44" t="str">
        <f>Scoring!AS44</f>
        <v/>
      </c>
      <c r="K44" t="str">
        <f>Scoring!AQ44</f>
        <v/>
      </c>
    </row>
    <row r="45" spans="1:11" x14ac:dyDescent="0.2">
      <c r="A45">
        <f>Scoring!D45</f>
        <v>0</v>
      </c>
      <c r="B45">
        <f>Scoring!A45</f>
        <v>0</v>
      </c>
      <c r="C45">
        <f>Scoring!B45</f>
        <v>0</v>
      </c>
      <c r="D45">
        <f>Scoring!E45</f>
        <v>0</v>
      </c>
      <c r="E45" t="str">
        <f>Scoring!Z45</f>
        <v/>
      </c>
      <c r="F45" t="str">
        <f>Scoring!AA45</f>
        <v/>
      </c>
      <c r="G45" t="str">
        <f>Scoring!AD45</f>
        <v/>
      </c>
      <c r="H45" t="str">
        <f>Scoring!AL45</f>
        <v/>
      </c>
      <c r="I45" t="str">
        <f>Scoring!AR45</f>
        <v/>
      </c>
      <c r="J45" t="str">
        <f>Scoring!AS45</f>
        <v/>
      </c>
      <c r="K45" t="str">
        <f>Scoring!AQ45</f>
        <v/>
      </c>
    </row>
  </sheetData>
  <mergeCells count="2">
    <mergeCell ref="A1:K1"/>
    <mergeCell ref="A2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54"/>
  <sheetViews>
    <sheetView showGridLines="0" zoomScale="135" zoomScaleNormal="100" workbookViewId="0">
      <pane xSplit="2" ySplit="3" topLeftCell="AS4" activePane="bottomRight" state="frozen"/>
      <selection pane="topRight" activeCell="L1" sqref="L1"/>
      <selection pane="bottomLeft" activeCell="A4" sqref="A4"/>
      <selection pane="bottomRight" activeCell="AU6" sqref="AU6"/>
    </sheetView>
  </sheetViews>
  <sheetFormatPr baseColWidth="10" defaultColWidth="8.83203125" defaultRowHeight="15" customHeight="1" x14ac:dyDescent="0.2"/>
  <cols>
    <col min="1" max="1" width="8.83203125" bestFit="1" customWidth="1"/>
    <col min="2" max="2" width="11.5" bestFit="1" customWidth="1"/>
    <col min="3" max="3" width="9.33203125" bestFit="1" customWidth="1"/>
    <col min="4" max="4" width="5.33203125" bestFit="1" customWidth="1"/>
    <col min="5" max="5" width="8" bestFit="1" customWidth="1"/>
    <col min="6" max="6" width="10.5" bestFit="1" customWidth="1"/>
    <col min="7" max="8" width="3.6640625" bestFit="1" customWidth="1"/>
    <col min="9" max="10" width="9.5" bestFit="1" customWidth="1"/>
    <col min="11" max="11" width="6.5" style="2" bestFit="1" customWidth="1"/>
    <col min="12" max="12" width="6.5" bestFit="1" customWidth="1"/>
    <col min="13" max="13" width="12.6640625" style="1" bestFit="1" customWidth="1"/>
    <col min="14" max="14" width="6.5" bestFit="1" customWidth="1"/>
    <col min="15" max="15" width="9.5" bestFit="1" customWidth="1"/>
    <col min="16" max="16" width="3.6640625" bestFit="1" customWidth="1"/>
    <col min="17" max="17" width="6.5" bestFit="1" customWidth="1"/>
    <col min="18" max="19" width="3.6640625" bestFit="1" customWidth="1"/>
    <col min="20" max="20" width="6.5" bestFit="1" customWidth="1"/>
    <col min="21" max="23" width="3.6640625" bestFit="1" customWidth="1"/>
    <col min="24" max="24" width="6.5" bestFit="1" customWidth="1"/>
    <col min="25" max="26" width="3.6640625" bestFit="1" customWidth="1"/>
    <col min="27" max="27" width="12.5" bestFit="1" customWidth="1"/>
    <col min="28" max="28" width="6.1640625" bestFit="1" customWidth="1"/>
    <col min="29" max="29" width="5.1640625" bestFit="1" customWidth="1"/>
    <col min="30" max="30" width="19.5" bestFit="1" customWidth="1"/>
    <col min="31" max="33" width="8" bestFit="1" customWidth="1"/>
    <col min="34" max="34" width="7.1640625" bestFit="1" customWidth="1"/>
    <col min="35" max="37" width="6.5" bestFit="1" customWidth="1"/>
    <col min="38" max="38" width="23" bestFit="1" customWidth="1"/>
    <col min="39" max="39" width="8" bestFit="1" customWidth="1"/>
    <col min="40" max="40" width="9.5" bestFit="1" customWidth="1"/>
    <col min="41" max="41" width="12.33203125" bestFit="1" customWidth="1"/>
    <col min="42" max="43" width="6.5" bestFit="1" customWidth="1"/>
    <col min="44" max="44" width="43" customWidth="1"/>
    <col min="45" max="45" width="59.5" bestFit="1" customWidth="1"/>
    <col min="46" max="46" width="4.5" bestFit="1" customWidth="1"/>
    <col min="47" max="47" width="23.33203125" bestFit="1" customWidth="1"/>
    <col min="48" max="48" width="6.5" bestFit="1" customWidth="1"/>
    <col min="49" max="49" width="8.83203125" bestFit="1" customWidth="1"/>
    <col min="50" max="50" width="6.5" bestFit="1" customWidth="1"/>
    <col min="51" max="51" width="4.5" bestFit="1" customWidth="1"/>
    <col min="52" max="54" width="6.5" bestFit="1" customWidth="1"/>
  </cols>
  <sheetData>
    <row r="1" spans="1:54" ht="27.75" customHeight="1" x14ac:dyDescent="0.2">
      <c r="A1" s="61" t="s">
        <v>84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</row>
    <row r="2" spans="1:54" ht="36" customHeight="1" x14ac:dyDescent="0.2">
      <c r="A2" s="62" t="s">
        <v>85</v>
      </c>
      <c r="B2" s="62"/>
      <c r="C2" s="62"/>
      <c r="D2" s="62"/>
      <c r="E2" s="62"/>
      <c r="F2" s="62"/>
      <c r="G2" s="62"/>
      <c r="H2" s="62"/>
      <c r="I2" s="63" t="s">
        <v>86</v>
      </c>
      <c r="J2" s="63"/>
      <c r="K2" s="63"/>
      <c r="L2" s="63"/>
      <c r="M2" s="63"/>
      <c r="N2" s="63" t="s">
        <v>87</v>
      </c>
      <c r="O2" s="63"/>
      <c r="P2" s="64" t="s">
        <v>88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 t="s">
        <v>89</v>
      </c>
      <c r="AF2" s="65"/>
      <c r="AG2" s="65"/>
      <c r="AH2" s="65"/>
      <c r="AI2" s="65"/>
      <c r="AJ2" s="65"/>
      <c r="AK2" s="65"/>
      <c r="AL2" s="65"/>
      <c r="AM2" s="63" t="s">
        <v>90</v>
      </c>
      <c r="AN2" s="63"/>
      <c r="AO2" s="63"/>
      <c r="AP2" s="63"/>
      <c r="AT2" s="66" t="s">
        <v>91</v>
      </c>
      <c r="AU2" s="66"/>
      <c r="AV2" s="66"/>
      <c r="AW2" s="66"/>
      <c r="AX2" s="66"/>
      <c r="AY2" s="66"/>
      <c r="AZ2" s="66"/>
      <c r="BA2" s="66"/>
      <c r="BB2" s="66"/>
    </row>
    <row r="3" spans="1:54" ht="30" customHeight="1" x14ac:dyDescent="0.2">
      <c r="A3" s="67" t="s">
        <v>92</v>
      </c>
      <c r="B3" s="67"/>
      <c r="C3" s="67"/>
      <c r="D3" s="67"/>
      <c r="E3" s="67"/>
      <c r="F3" s="67"/>
      <c r="G3" s="67"/>
      <c r="H3" s="67"/>
      <c r="I3" s="67"/>
      <c r="J3" s="67"/>
      <c r="K3" s="68"/>
      <c r="L3" s="68"/>
      <c r="M3" s="69"/>
      <c r="N3" s="69"/>
      <c r="O3" s="69"/>
      <c r="P3" s="69"/>
      <c r="Q3" s="69"/>
      <c r="R3" s="69"/>
      <c r="S3" s="69"/>
      <c r="T3" s="69"/>
      <c r="U3" s="69"/>
      <c r="V3" s="70"/>
      <c r="W3" s="70"/>
      <c r="X3" s="70"/>
      <c r="Y3" s="70"/>
      <c r="AT3" s="71" t="s">
        <v>93</v>
      </c>
      <c r="AU3" s="71"/>
      <c r="AV3" s="71"/>
      <c r="AW3" s="71"/>
      <c r="AX3" s="71"/>
      <c r="AY3" s="71"/>
      <c r="AZ3" s="71"/>
      <c r="BA3" s="71"/>
      <c r="BB3" s="71"/>
    </row>
    <row r="5" spans="1:54" s="57" customFormat="1" ht="91" customHeight="1" x14ac:dyDescent="0.2">
      <c r="A5" s="53" t="s">
        <v>25</v>
      </c>
      <c r="B5" s="53" t="s">
        <v>26</v>
      </c>
      <c r="C5" s="53" t="s">
        <v>37</v>
      </c>
      <c r="D5" s="53" t="s">
        <v>24</v>
      </c>
      <c r="E5" s="53" t="s">
        <v>94</v>
      </c>
      <c r="F5" s="53" t="s">
        <v>74</v>
      </c>
      <c r="G5" s="53" t="s">
        <v>95</v>
      </c>
      <c r="H5" s="53" t="s">
        <v>79</v>
      </c>
      <c r="I5" s="53" t="s">
        <v>96</v>
      </c>
      <c r="J5" s="53" t="s">
        <v>97</v>
      </c>
      <c r="K5" s="54" t="s">
        <v>98</v>
      </c>
      <c r="L5" s="53" t="s">
        <v>99</v>
      </c>
      <c r="M5" s="55" t="s">
        <v>100</v>
      </c>
      <c r="N5" s="53" t="s">
        <v>101</v>
      </c>
      <c r="O5" s="53" t="s">
        <v>102</v>
      </c>
      <c r="P5" s="53" t="s">
        <v>103</v>
      </c>
      <c r="Q5" s="53" t="s">
        <v>104</v>
      </c>
      <c r="R5" s="53" t="s">
        <v>105</v>
      </c>
      <c r="S5" s="53" t="s">
        <v>106</v>
      </c>
      <c r="T5" s="53" t="s">
        <v>107</v>
      </c>
      <c r="U5" s="53" t="s">
        <v>108</v>
      </c>
      <c r="V5" s="53" t="s">
        <v>109</v>
      </c>
      <c r="W5" s="53" t="s">
        <v>110</v>
      </c>
      <c r="X5" s="53" t="s">
        <v>111</v>
      </c>
      <c r="Y5" s="53" t="s">
        <v>112</v>
      </c>
      <c r="Z5" s="53" t="s">
        <v>28</v>
      </c>
      <c r="AA5" s="53" t="s">
        <v>29</v>
      </c>
      <c r="AB5" s="53" t="s">
        <v>113</v>
      </c>
      <c r="AC5" s="53" t="s">
        <v>114</v>
      </c>
      <c r="AD5" s="53" t="s">
        <v>30</v>
      </c>
      <c r="AE5" s="53" t="s">
        <v>115</v>
      </c>
      <c r="AF5" s="53" t="s">
        <v>116</v>
      </c>
      <c r="AG5" s="53" t="s">
        <v>117</v>
      </c>
      <c r="AH5" s="53" t="s">
        <v>118</v>
      </c>
      <c r="AI5" s="53" t="s">
        <v>119</v>
      </c>
      <c r="AJ5" s="53" t="s">
        <v>120</v>
      </c>
      <c r="AK5" s="53" t="s">
        <v>121</v>
      </c>
      <c r="AL5" s="53" t="s">
        <v>122</v>
      </c>
      <c r="AM5" s="53" t="s">
        <v>123</v>
      </c>
      <c r="AN5" s="53" t="s">
        <v>124</v>
      </c>
      <c r="AO5" s="53" t="s">
        <v>125</v>
      </c>
      <c r="AP5" s="53" t="s">
        <v>126</v>
      </c>
      <c r="AQ5" s="56" t="s">
        <v>127</v>
      </c>
      <c r="AR5" s="22" t="s">
        <v>128</v>
      </c>
      <c r="AS5" s="22" t="s">
        <v>129</v>
      </c>
      <c r="AT5" s="56" t="s">
        <v>130</v>
      </c>
      <c r="AU5" s="56" t="s">
        <v>131</v>
      </c>
      <c r="AV5" s="56" t="s">
        <v>132</v>
      </c>
      <c r="AW5" s="56" t="s">
        <v>133</v>
      </c>
      <c r="AX5" s="56" t="s">
        <v>134</v>
      </c>
      <c r="AY5" s="56" t="s">
        <v>135</v>
      </c>
      <c r="AZ5" s="56" t="s">
        <v>136</v>
      </c>
      <c r="BA5" s="56" t="s">
        <v>137</v>
      </c>
      <c r="BB5" s="56" t="s">
        <v>138</v>
      </c>
    </row>
    <row r="6" spans="1:54" ht="21.75" customHeight="1" x14ac:dyDescent="0.2">
      <c r="A6" s="23" t="s">
        <v>60</v>
      </c>
      <c r="B6" s="23" t="s">
        <v>61</v>
      </c>
      <c r="C6" s="23" t="s">
        <v>42</v>
      </c>
      <c r="D6" s="23" t="s">
        <v>139</v>
      </c>
      <c r="E6" s="23">
        <v>2500000</v>
      </c>
      <c r="F6" s="24">
        <v>46188</v>
      </c>
      <c r="G6" s="23" t="s">
        <v>81</v>
      </c>
      <c r="H6" s="23" t="s">
        <v>81</v>
      </c>
      <c r="I6">
        <f>IF(A6="","",IF(AND(Parametry!$B$39="ANO",B6&lt;&gt;""),COUNTIFS(Historie!$A$2:$A$2000,A6,Historie!$B$2:$B$2000,B6,Historie!$E$2:$E$2000,"&lt;&gt;"),COUNTIFS(Historie!$A$2:$A$2000,A6,Historie!$E$2:$E$2000,"&lt;&gt;")))</f>
        <v>7</v>
      </c>
      <c r="J6" s="14">
        <f>IF(I6=0,"",IFERROR(IF(AND(Parametry!$B$39="ANO",B6&lt;&gt;""),AVERAGEIFS(Historie!$F$2:$F$2000,Historie!$A$2:$A$2000,A6,Historie!$B$2:$B$2000,B6,Historie!$E$2:$E$2000,"&lt;&gt;"),AVERAGEIFS(Historie!$F$2:$F$2000,Historie!$A$2:$A$2000,A6,Historie!$E$2:$E$2000,"&lt;&gt;")),""))</f>
        <v>-0.14285714285714285</v>
      </c>
      <c r="K6" s="25">
        <f>IF(I6=0,"",IFERROR(IF(AND(Parametry!$B$39="ANO",B6&lt;&gt;""),COUNTIFS(Historie!$A$2:$A$2000,A6,Historie!$B$2:$B$2000,B6,Historie!$E$2:$E$2000,"&lt;&gt;",Historie!$F$2:$F$2000,"&gt;0")/I6,COUNTIFS(Historie!$A$2:$A$2000,A6,Historie!$E$2:$E$2000,"&lt;&gt;",Historie!$F$2:$F$2000,"&gt;0")/I6),0))</f>
        <v>0.14285714285714285</v>
      </c>
      <c r="L6">
        <f ca="1">IF(OR(A6="",I6=0),"",IFERROR(DATEDIF(IF(AND(Parametry!$B$39="ANO",B6&lt;&gt;""),_xludf.minifs(Historie!$E$2:$E$2000,Historie!$A$2:$A$2000,A6,Historie!$B$2:$B$2000,B6,Historie!$E$2:$E$2000,"&lt;&gt;"),_xludf.minifs(Historie!$E$2:$E$2000,Historie!$A$2:$A$2000,A6,Historie!$E$2:$E$2000,"&lt;&gt;")),IF(AND(Parametry!$B$39="ANO",B6&lt;&gt;""),_xludf.maxifs(Historie!$E$2:$E$2000,Historie!$A$2:$A$2000,A6,Historie!$B$2:$B$2000,B6,Historie!$E$2:$E$2000,"&lt;&gt;"),_xludf.maxifs(Historie!$E$2:$E$2000,Historie!$A$2:$A$2000,A6,Historie!$E$2:$E$2000,"&lt;&gt;")),"M"),0))</f>
        <v>0</v>
      </c>
      <c r="M6" s="1">
        <f>IF(A6="","",IFERROR(IF(AND(Parametry!$B$39="ANO",B6&lt;&gt;""),AVERAGEIFS(Historie!$C$2:$C$2000,Historie!$A$2:$A$2000,A6,Historie!$B$2:$B$2000,B6,Historie!$E$2:$E$2000,"&lt;&gt;"),AVERAGEIFS(Historie!$C$2:$C$2000,Historie!$A$2:$A$2000,A6,Historie!$E$2:$E$2000,"&lt;&gt;")),""))</f>
        <v>1847142.857142857</v>
      </c>
      <c r="N6">
        <f t="shared" ref="N6:N45" ca="1" si="0">IF(F6="","",F6-TODAY())</f>
        <v>68</v>
      </c>
      <c r="O6">
        <f t="shared" ref="O6:O45" ca="1" si="1">IF(OR(A6="",E6=""),"",IF(C6="Uhrazená","",N6))</f>
        <v>68</v>
      </c>
      <c r="P6" t="str">
        <f t="shared" ref="P6:P45" si="2">IF(OR(A6="",E6=""),"",IF(I6=0,"ANO","NE"))</f>
        <v>NE</v>
      </c>
      <c r="Q6" s="26">
        <f t="shared" ref="Q6:Q45" si="3">IF(OR(A6="",E6="",M6=0),"",IFERROR(E6/M6,""))</f>
        <v>1.3534416086620265</v>
      </c>
      <c r="R6" s="14">
        <f>IF(OR(A6="",E6=""),"",IF(I6&gt;=Parametry!$B$4,Parametry!$B$9,0))</f>
        <v>40</v>
      </c>
      <c r="S6" s="14">
        <f>IF(OR(A6="",E6=""),"",IF(I6&gt;0,IF(J6&lt;=Parametry!$B$5,Parametry!$B$10,0),0))</f>
        <v>20</v>
      </c>
      <c r="T6" s="14">
        <f>IF(OR(A6="",E6=""),"",IF(I6&gt;0,IF(K6&lt;=Parametry!$B$6,Parametry!$B$11,0),0))</f>
        <v>15</v>
      </c>
      <c r="U6">
        <f ca="1">IF(OR(A6="",E6=""),"",IF(L6&gt;=Parametry!$B$7,Parametry!$B$12,0))</f>
        <v>0</v>
      </c>
      <c r="V6" s="14">
        <f>IF(OR(A6="",E6=""),"",IF(M6&gt;0,IF(Q6&lt;=Parametry!$B$8,Parametry!$B$13,0),0))</f>
        <v>10</v>
      </c>
      <c r="W6">
        <f>IF(OR(A6="",E6=""),"",IF(P6="ANO",Parametry!$B$14,0))</f>
        <v>0</v>
      </c>
      <c r="X6">
        <f>IF(OR(A6="",E6=""),"",IF(G6="ANO",Parametry!$B$15,0))</f>
        <v>0</v>
      </c>
      <c r="Y6">
        <f>IF(OR(A6="",E6=""),"",IF(H6="ANO",Parametry!$B$16,0))</f>
        <v>0</v>
      </c>
      <c r="Z6">
        <f t="shared" ref="Z6:Z45" ca="1" si="4">IF(OR(A6="",E6=""),"",MAX(0,MIN(100,ROUND(AY6+AZ6+BA6+BB6,0))))</f>
        <v>87</v>
      </c>
      <c r="AA6" t="str">
        <f ca="1">IF(Z6="","",IF(AW6="STOP","Stop",IF(AW6="MANUAL",IF(Z6&gt;=Parametry!$B$19,"Watchlist","Stop"),IF(Z6&gt;=Parametry!$B$17,"Nízké riziko",IF(Z6&gt;=Parametry!$B$18,"Střední riziko",IF(Z6&gt;=Parametry!$B$19,"Watchlist","Stop"))))))</f>
        <v>Nízké riziko</v>
      </c>
      <c r="AB6" s="17">
        <f ca="1">IF(AA6="","",MIN(IF(AA6="Nízké riziko",Parametry!$B$20,IF(AA6="Střední riziko",Parametry!$B$21,IF(AA6="Watchlist",Parametry!$B$22,Parametry!$B$23))),IFERROR(INDEX(Ciselniky!$H$3:$H$10,MATCH(AT6,Ciselniky!$F$3:$F$10,0)),0)))</f>
        <v>0.8</v>
      </c>
      <c r="AC6" s="17">
        <f ca="1">IF(AA6="","",IF(AA6="Stop",0,IF(AA6="Nízké riziko",Parametry!$B$24,IF(AA6="Střední riziko",Parametry!$B$25,IF(AA6="Watchlist",Parametry!$B$26,0)))+IFERROR(INDEX(Ciselniky!$I$3:$I$10,MATCH(AT6,Ciselniky!$F$3:$F$10,0)),0)))</f>
        <v>2.5000000000000001E-2</v>
      </c>
      <c r="AD6" t="str">
        <f t="shared" ref="AD6:AD45" ca="1" si="5">IF(AA6="","",IF(OR(AA6="Stop",AW6="STOP"),"Stop",IF(AW6="MANUAL","Pouze manuálně",IF(AA6="Nízké riziko","Financovat",IF(AA6="Střední riziko","Financovat s limitem",IF(AA6="Watchlist","Pouze manuálně","Stop"))))))</f>
        <v>Financovat</v>
      </c>
      <c r="AE6">
        <f t="shared" ref="AE6:AE45" si="6">E6</f>
        <v>2500000</v>
      </c>
      <c r="AF6">
        <f t="shared" ref="AF6:AF45" si="7">SUMIF($A$6:$A$45,A6,$E$6:$E$45)</f>
        <v>3000000</v>
      </c>
      <c r="AG6">
        <f>Parametry!$B$28</f>
        <v>5800000</v>
      </c>
      <c r="AH6" s="17">
        <f t="shared" ref="AH6:AH45" si="8">IFERROR(AE6/AF6,"")</f>
        <v>0.83333333333333337</v>
      </c>
      <c r="AI6" s="17">
        <f>IFERROR(AF6/Parametry!$B$28,"")</f>
        <v>0.51724137931034486</v>
      </c>
      <c r="AJ6" s="17">
        <f>IFERROR(AE6/Parametry!$B$28,"")</f>
        <v>0.43103448275862066</v>
      </c>
      <c r="AK6">
        <f>IF(OR(A6="",E6=""),"",MAX(0,100-IF(Parametry!$B$27="early",0.5,IF(Parametry!$B$27="growth",0.75,1))*(IF(AI6&lt;=Parametry!$B$34,0,IF(AI6&lt;=Parametry!$B$34+0.05,8,20))+IF(AH6&lt;=Parametry!$B$35,0,12)+IF(AJ6&lt;=Parametry!$B$36,0,12))))</f>
        <v>78</v>
      </c>
      <c r="AL6" t="str">
        <f>IF(OR(A6="",E6=""),"",IF(Parametry!$B$27="early",IF(OR(AI6&gt;Parametry!$B$34*1.2,AH6&gt;Parametry!$B$35*1.3),"EARLY STAGE EXCEPTION","OK"),IF(Parametry!$B$27="growth",IF(OR(AI6&gt;Parametry!$B$34*1.35,AH6&gt;Parametry!$B$35*1.4),"RED FLAG","OK"),IF(OR(AI6&gt;Parametry!$B$34*1.2,AH6&gt;Parametry!$B$35*1.3),"RED FLAG","OK"))))</f>
        <v>EARLY STAGE EXCEPTION</v>
      </c>
      <c r="AM6">
        <f>IF(OR(A6="",E6=""),"",IF(COUNTIF($A$6:A6,A6)=1,AF6,""))</f>
        <v>3000000</v>
      </c>
      <c r="AN6">
        <f t="shared" ref="AN6:AN45" si="9">IF(A6="","",SUMPRODUCT(($A$6:$A$45=A6)*($E$6:$E$45)*((($C$6:$C$45="")+($C$6:$C$45="Otevřená"))&gt;0)))</f>
        <v>2600000</v>
      </c>
      <c r="AO6">
        <f t="shared" ref="AO6:AO45" si="10">IF(OR(B6="",A6=""),"",SUMPRODUCT(($B$6:$B$45=B6)*($E$6:$E$45)*((($C$6:$C$45="")+($C$6:$C$45="Otevřená"))&gt;0)))</f>
        <v>2500000</v>
      </c>
      <c r="AP6">
        <f t="shared" ref="AP6:AP45" ca="1" si="11">IF(OR(A6="",E6=""),"",IF(C6="Uhrazená","",N6))</f>
        <v>68</v>
      </c>
      <c r="AQ6" s="14">
        <f t="shared" ref="AQ6:AQ45" ca="1" si="12">IF(OR(A6="",E6=""),"",IF(OR(AW6="STOP",AA6="Stop"),5,IF(OR(G6="ANO",H6="ANO"),4,IF(AL6="RED FLAG",4,IF(OR(AW6="MANUAL",AA6="Watchlist"),3,IF(OR(AL6="EARLY STAGE EXCEPTION",AA6="Střední riziko"),2,IF(AA6="Nízké riziko",1,5)))))))</f>
        <v>2</v>
      </c>
      <c r="AR6" t="str">
        <f t="shared" ref="AR6:AR45" ca="1" si="13">IF(OR(A6="",E6=""),"",IF(OR(AQ6="",NOT(ISNUMBER(AQ6))),"",IF(AQ6=1,"Vhodné ke schválení",IF(AQ6=2,"Schválit s výhradou (koncentrace / early stage)",IF(AQ6=3,"Pouze manuálně - anchor rating / watchlist",IF(AQ6=4,"Zamítnout - spor, nesoulad nebo koncentrace",IF(AQ6=5,"STOP","")))))))</f>
        <v>Schválit s výhradou (koncentrace / early stage)</v>
      </c>
      <c r="AS6" t="str">
        <f t="shared" ref="AS6:AS45" ca="1" si="14">IF(A6="","",TEXT(Z6,"0") &amp; " b | " &amp; AA6 &amp; " | " &amp; AD6 &amp; " | gate " &amp; AW6 &amp; " | rating " &amp; AT6)</f>
        <v>87 b | Nízké riziko | Financovat | gate OK | rating AA</v>
      </c>
      <c r="AT6" s="23" t="str">
        <f>IF(A6="","",IF(COUNTIF(Ciselniky!$L$3:$L$200,A6)=0,"NR",IF(INDEX(Ciselniky!$M$3:$M$200,MATCH(A6,Ciselniky!$L$3:$L$200,0))="","NR",INDEX(Ciselniky!$M$3:$M$200,MATCH(A6,Ciselniky!$L$3:$L$200,0)))))</f>
        <v>AA</v>
      </c>
      <c r="AU6" t="str">
        <f>IF(A6="","",IF(AT6="NR","doplňit rating v Ciselniky",IFERROR(IF(INDEX(Ciselniky!$N$3:$N$200,MATCH(A6,Ciselniky!$L$3:$L$200,0))="","anchor master",INDEX(Ciselniky!$N$3:$N$200,MATCH(A6,Ciselniky!$L$3:$L$200,0))),"anchor master")))</f>
        <v>doplňte interní / externí rating</v>
      </c>
      <c r="AV6" s="14">
        <f>IF(AT6="","",IFERROR(INDEX(Ciselniky!$G$3:$G$10,MATCH(AT6,Ciselniky!$F$3:$F$10,0)),0))</f>
        <v>90</v>
      </c>
      <c r="AW6" t="str">
        <f>IF(AT6="","",IFERROR(INDEX(Ciselniky!$J$3:$J$10,MATCH(AT6,Ciselniky!$F$3:$F$10,0)),"MANUAL"))</f>
        <v>OK</v>
      </c>
      <c r="AX6" s="14">
        <f t="shared" ref="AX6:AX45" ca="1" si="15">IF(OR(A6="",E6=""),"",MAX(0,MIN(100,SUM(R6:Y6))))</f>
        <v>85</v>
      </c>
      <c r="AY6" s="27">
        <f>IF(OR(A6="",E6=""),"",AV6*Parametry!$B$41)</f>
        <v>54</v>
      </c>
      <c r="AZ6" s="27">
        <f ca="1">IF(OR(A6="",E6=""),"",AX6*Parametry!$B$42)</f>
        <v>21.25</v>
      </c>
      <c r="BA6" s="27">
        <f>IF(OR(A6="",E6=""),"",AK6*Parametry!$B$43)</f>
        <v>11.7</v>
      </c>
      <c r="BB6" s="14">
        <f>IF(OR(A6="",E6=""),"",IF(AW6="STOP",-100,IF(AT6="BB",Parametry!$B$47,IF(AT6="NR",Parametry!$B$48,0))))</f>
        <v>0</v>
      </c>
    </row>
    <row r="7" spans="1:54" ht="21.75" customHeight="1" x14ac:dyDescent="0.2">
      <c r="A7" s="23" t="s">
        <v>49</v>
      </c>
      <c r="B7" s="23" t="s">
        <v>50</v>
      </c>
      <c r="C7" s="23" t="s">
        <v>42</v>
      </c>
      <c r="D7" s="23" t="s">
        <v>140</v>
      </c>
      <c r="E7" s="23">
        <v>900000</v>
      </c>
      <c r="F7" s="24">
        <v>46193</v>
      </c>
      <c r="G7" s="23" t="s">
        <v>81</v>
      </c>
      <c r="H7" s="23" t="s">
        <v>81</v>
      </c>
      <c r="I7">
        <f>IF(A7="","",IF(AND(Parametry!$B$39="ANO",B7&lt;&gt;""),COUNTIFS(Historie!$A$2:$A$2000,A7,Historie!$B$2:$B$2000,B7,Historie!$E$2:$E$2000,"&lt;&gt;"),COUNTIFS(Historie!$A$2:$A$2000,A7,Historie!$E$2:$E$2000,"&lt;&gt;")))</f>
        <v>4</v>
      </c>
      <c r="J7" s="14">
        <f>IF(I7=0,"",IFERROR(IF(AND(Parametry!$B$39="ANO",B7&lt;&gt;""),AVERAGEIFS(Historie!$F$2:$F$2000,Historie!$A$2:$A$2000,A7,Historie!$B$2:$B$2000,B7,Historie!$E$2:$E$2000,"&lt;&gt;"),AVERAGEIFS(Historie!$F$2:$F$2000,Historie!$A$2:$A$2000,A7,Historie!$E$2:$E$2000,"&lt;&gt;")),""))</f>
        <v>2.5</v>
      </c>
      <c r="K7" s="25">
        <f>IF(I7=0,"",IFERROR(IF(AND(Parametry!$B$39="ANO",B7&lt;&gt;""),COUNTIFS(Historie!$A$2:$A$2000,A7,Historie!$B$2:$B$2000,B7,Historie!$E$2:$E$2000,"&lt;&gt;",Historie!$F$2:$F$2000,"&gt;0")/I7,COUNTIFS(Historie!$A$2:$A$2000,A7,Historie!$E$2:$E$2000,"&lt;&gt;",Historie!$F$2:$F$2000,"&gt;0")/I7),0))</f>
        <v>0.5</v>
      </c>
      <c r="L7">
        <f ca="1">IF(OR(A7="",I7=0),"",IFERROR(DATEDIF(IF(AND(Parametry!$B$39="ANO",B7&lt;&gt;""),_xludf.minifs(Historie!$E$2:$E$2000,Historie!$A$2:$A$2000,A7,Historie!$B$2:$B$2000,B7,Historie!$E$2:$E$2000,"&lt;&gt;"),_xludf.minifs(Historie!$E$2:$E$2000,Historie!$A$2:$A$2000,A7,Historie!$E$2:$E$2000,"&lt;&gt;")),IF(AND(Parametry!$B$39="ANO",B7&lt;&gt;""),_xludf.maxifs(Historie!$E$2:$E$2000,Historie!$A$2:$A$2000,A7,Historie!$B$2:$B$2000,B7,Historie!$E$2:$E$2000,"&lt;&gt;"),_xludf.maxifs(Historie!$E$2:$E$2000,Historie!$A$2:$A$2000,A7,Historie!$E$2:$E$2000,"&lt;&gt;")),"M"),0))</f>
        <v>0</v>
      </c>
      <c r="M7" s="1">
        <f>IF(A7="","",IFERROR(IF(AND(Parametry!$B$39="ANO",B7&lt;&gt;""),AVERAGEIFS(Historie!$C$2:$C$2000,Historie!$A$2:$A$2000,A7,Historie!$B$2:$B$2000,B7,Historie!$E$2:$E$2000,"&lt;&gt;"),AVERAGEIFS(Historie!$C$2:$C$2000,Historie!$A$2:$A$2000,A7,Historie!$E$2:$E$2000,"&lt;&gt;")),""))</f>
        <v>922500</v>
      </c>
      <c r="N7">
        <f t="shared" ca="1" si="0"/>
        <v>73</v>
      </c>
      <c r="O7">
        <f t="shared" ca="1" si="1"/>
        <v>73</v>
      </c>
      <c r="P7" t="str">
        <f t="shared" si="2"/>
        <v>NE</v>
      </c>
      <c r="Q7" s="26">
        <f t="shared" si="3"/>
        <v>0.97560975609756095</v>
      </c>
      <c r="R7">
        <f>IF(OR(A7="",E7=""),"",IF(I7&gt;=Parametry!$B$4,Parametry!$B$9,0))</f>
        <v>0</v>
      </c>
      <c r="S7" s="14">
        <f>IF(OR(A7="",E7=""),"",IF(I7&gt;0,IF(J7&lt;=Parametry!$B$5,Parametry!$B$10,0),0))</f>
        <v>20</v>
      </c>
      <c r="T7">
        <f>IF(OR(A7="",E7=""),"",IF(I7&gt;0,IF(K7&lt;=Parametry!$B$6,Parametry!$B$11,0),0))</f>
        <v>0</v>
      </c>
      <c r="U7">
        <f ca="1">IF(OR(A7="",E7=""),"",IF(L7&gt;=Parametry!$B$7,Parametry!$B$12,0))</f>
        <v>0</v>
      </c>
      <c r="V7" s="14">
        <f>IF(OR(A7="",E7=""),"",IF(M7&gt;0,IF(Q7&lt;=Parametry!$B$8,Parametry!$B$13,0),0))</f>
        <v>10</v>
      </c>
      <c r="W7">
        <f>IF(OR(A7="",E7=""),"",IF(P7="ANO",Parametry!$B$14,0))</f>
        <v>0</v>
      </c>
      <c r="X7">
        <f>IF(OR(A7="",E7=""),"",IF(G7="ANO",Parametry!$B$15,0))</f>
        <v>0</v>
      </c>
      <c r="Y7">
        <f>IF(OR(A7="",E7=""),"",IF(H7="ANO",Parametry!$B$16,0))</f>
        <v>0</v>
      </c>
      <c r="Z7">
        <f t="shared" ca="1" si="4"/>
        <v>34</v>
      </c>
      <c r="AA7" t="str">
        <f ca="1">IF(Z7="","",IF(AW7="STOP","Stop",IF(AW7="MANUAL",IF(Z7&gt;=Parametry!$B$19,"Watchlist","Stop"),IF(Z7&gt;=Parametry!$B$17,"Nízké riziko",IF(Z7&gt;=Parametry!$B$18,"Střední riziko",IF(Z7&gt;=Parametry!$B$19,"Watchlist","Stop"))))))</f>
        <v>Stop</v>
      </c>
      <c r="AB7" s="17">
        <f ca="1">IF(AA7="","",MIN(IF(AA7="Nízké riziko",Parametry!$B$20,IF(AA7="Střední riziko",Parametry!$B$21,IF(AA7="Watchlist",Parametry!$B$22,Parametry!$B$23))),IFERROR(INDEX(Ciselniky!$H$3:$H$10,MATCH(AT7,Ciselniky!$F$3:$F$10,0)),0)))</f>
        <v>0</v>
      </c>
      <c r="AC7" s="17">
        <f ca="1">IF(AA7="","",IF(AA7="Stop",0,IF(AA7="Nízké riziko",Parametry!$B$24,IF(AA7="Střední riziko",Parametry!$B$25,IF(AA7="Watchlist",Parametry!$B$26,0)))+IFERROR(INDEX(Ciselniky!$I$3:$I$10,MATCH(AT7,Ciselniky!$F$3:$F$10,0)),0)))</f>
        <v>0</v>
      </c>
      <c r="AD7" t="str">
        <f t="shared" ca="1" si="5"/>
        <v>Stop</v>
      </c>
      <c r="AE7">
        <f t="shared" si="6"/>
        <v>900000</v>
      </c>
      <c r="AF7">
        <f t="shared" si="7"/>
        <v>900000</v>
      </c>
      <c r="AG7">
        <f>Parametry!$B$28</f>
        <v>5800000</v>
      </c>
      <c r="AH7" s="17">
        <f t="shared" si="8"/>
        <v>1</v>
      </c>
      <c r="AI7" s="17">
        <f>IFERROR(AF7/Parametry!$B$28,"")</f>
        <v>0.15517241379310345</v>
      </c>
      <c r="AJ7" s="17">
        <f>IFERROR(AE7/Parametry!$B$28,"")</f>
        <v>0.15517241379310345</v>
      </c>
      <c r="AK7">
        <f>IF(OR(A7="",E7=""),"",MAX(0,100-IF(Parametry!$B$27="early",0.5,IF(Parametry!$B$27="growth",0.75,1))*(IF(AI7&lt;=Parametry!$B$34,0,IF(AI7&lt;=Parametry!$B$34+0.05,8,20))+IF(AH7&lt;=Parametry!$B$35,0,12)+IF(AJ7&lt;=Parametry!$B$36,0,12))))</f>
        <v>94</v>
      </c>
      <c r="AL7" t="str">
        <f>IF(OR(A7="",E7=""),"",IF(Parametry!$B$27="early",IF(OR(AI7&gt;Parametry!$B$34*1.2,AH7&gt;Parametry!$B$35*1.3),"EARLY STAGE EXCEPTION","OK"),IF(Parametry!$B$27="growth",IF(OR(AI7&gt;Parametry!$B$34*1.35,AH7&gt;Parametry!$B$35*1.4),"RED FLAG","OK"),IF(OR(AI7&gt;Parametry!$B$34*1.2,AH7&gt;Parametry!$B$35*1.3),"RED FLAG","OK"))))</f>
        <v>EARLY STAGE EXCEPTION</v>
      </c>
      <c r="AM7">
        <f>IF(OR(A7="",E7=""),"",IF(COUNTIF($A$6:A7,A7)=1,AF7,""))</f>
        <v>900000</v>
      </c>
      <c r="AN7">
        <f t="shared" si="9"/>
        <v>900000</v>
      </c>
      <c r="AO7">
        <f t="shared" si="10"/>
        <v>900000</v>
      </c>
      <c r="AP7">
        <f t="shared" ca="1" si="11"/>
        <v>73</v>
      </c>
      <c r="AQ7" s="14">
        <f t="shared" ca="1" si="12"/>
        <v>5</v>
      </c>
      <c r="AR7" t="str">
        <f t="shared" ca="1" si="13"/>
        <v>STOP</v>
      </c>
      <c r="AS7" t="str">
        <f t="shared" ca="1" si="14"/>
        <v>34 b | Stop | Stop | gate MANUAL | rating BB</v>
      </c>
      <c r="AT7" s="23" t="str">
        <f>IF(A7="","",IF(COUNTIF(Ciselniky!$L$3:$L$200,A7)=0,"NR",IF(INDEX(Ciselniky!$M$3:$M$200,MATCH(A7,Ciselniky!$L$3:$L$200,0))="","NR",INDEX(Ciselniky!$M$3:$M$200,MATCH(A7,Ciselniky!$L$3:$L$200,0)))))</f>
        <v>BB</v>
      </c>
      <c r="AU7" t="str">
        <f>IF(A7="","",IF(AT7="NR","doplňit rating v Ciselniky",IFERROR(IF(INDEX(Ciselniky!$N$3:$N$200,MATCH(A7,Ciselniky!$L$3:$L$200,0))="","anchor master",INDEX(Ciselniky!$N$3:$N$200,MATCH(A7,Ciselniky!$L$3:$L$200,0))),"anchor master")))</f>
        <v>demo / upravit</v>
      </c>
      <c r="AV7" s="14">
        <f>IF(AT7="","",IFERROR(INDEX(Ciselniky!$G$3:$G$10,MATCH(AT7,Ciselniky!$F$3:$F$10,0)),0))</f>
        <v>45</v>
      </c>
      <c r="AW7" t="str">
        <f>IF(AT7="","",IFERROR(INDEX(Ciselniky!$J$3:$J$10,MATCH(AT7,Ciselniky!$F$3:$F$10,0)),"MANUAL"))</f>
        <v>MANUAL</v>
      </c>
      <c r="AX7" s="14">
        <f t="shared" ca="1" si="15"/>
        <v>30</v>
      </c>
      <c r="AY7" s="27">
        <f>IF(OR(A7="",E7=""),"",AV7*Parametry!$B$41)</f>
        <v>27</v>
      </c>
      <c r="AZ7" s="27">
        <f ca="1">IF(OR(A7="",E7=""),"",AX7*Parametry!$B$42)</f>
        <v>7.5</v>
      </c>
      <c r="BA7" s="27">
        <f>IF(OR(A7="",E7=""),"",AK7*Parametry!$B$43)</f>
        <v>14.1</v>
      </c>
      <c r="BB7" s="14">
        <f>IF(OR(A7="",E7=""),"",IF(AW7="STOP",-100,IF(AT7="BB",Parametry!$B$47,IF(AT7="NR",Parametry!$B$48,0))))</f>
        <v>-15</v>
      </c>
    </row>
    <row r="8" spans="1:54" ht="21.75" customHeight="1" x14ac:dyDescent="0.2">
      <c r="A8" s="23" t="s">
        <v>56</v>
      </c>
      <c r="B8" s="23" t="s">
        <v>57</v>
      </c>
      <c r="C8" s="23" t="s">
        <v>51</v>
      </c>
      <c r="D8" s="23" t="s">
        <v>141</v>
      </c>
      <c r="E8" s="23">
        <v>200000</v>
      </c>
      <c r="F8" s="24">
        <v>46183</v>
      </c>
      <c r="G8" s="23" t="s">
        <v>81</v>
      </c>
      <c r="H8" s="23" t="s">
        <v>81</v>
      </c>
      <c r="I8">
        <f>IF(A8="","",IF(AND(Parametry!$B$39="ANO",B8&lt;&gt;""),COUNTIFS(Historie!$A$2:$A$2000,A8,Historie!$B$2:$B$2000,B8,Historie!$E$2:$E$2000,"&lt;&gt;"),COUNTIFS(Historie!$A$2:$A$2000,A8,Historie!$E$2:$E$2000,"&lt;&gt;")))</f>
        <v>12</v>
      </c>
      <c r="J8" s="14">
        <f>IF(I8=0,"",IFERROR(IF(AND(Parametry!$B$39="ANO",B8&lt;&gt;""),AVERAGEIFS(Historie!$F$2:$F$2000,Historie!$A$2:$A$2000,A8,Historie!$B$2:$B$2000,B8,Historie!$E$2:$E$2000,"&lt;&gt;"),AVERAGEIFS(Historie!$F$2:$F$2000,Historie!$A$2:$A$2000,A8,Historie!$E$2:$E$2000,"&lt;&gt;")),""))</f>
        <v>2.9166666666666665</v>
      </c>
      <c r="K8" s="25">
        <f>IF(I8=0,"",IFERROR(IF(AND(Parametry!$B$39="ANO",B8&lt;&gt;""),COUNTIFS(Historie!$A$2:$A$2000,A8,Historie!$B$2:$B$2000,B8,Historie!$E$2:$E$2000,"&lt;&gt;",Historie!$F$2:$F$2000,"&gt;0")/I8,COUNTIFS(Historie!$A$2:$A$2000,A8,Historie!$E$2:$E$2000,"&lt;&gt;",Historie!$F$2:$F$2000,"&gt;0")/I8),0))</f>
        <v>0.58333333333333337</v>
      </c>
      <c r="L8">
        <f ca="1">IF(OR(A8="",I8=0),"",IFERROR(DATEDIF(IF(AND(Parametry!$B$39="ANO",B8&lt;&gt;""),_xludf.minifs(Historie!$E$2:$E$2000,Historie!$A$2:$A$2000,A8,Historie!$B$2:$B$2000,B8,Historie!$E$2:$E$2000,"&lt;&gt;"),_xludf.minifs(Historie!$E$2:$E$2000,Historie!$A$2:$A$2000,A8,Historie!$E$2:$E$2000,"&lt;&gt;")),IF(AND(Parametry!$B$39="ANO",B8&lt;&gt;""),_xludf.maxifs(Historie!$E$2:$E$2000,Historie!$A$2:$A$2000,A8,Historie!$B$2:$B$2000,B8,Historie!$E$2:$E$2000,"&lt;&gt;"),_xludf.maxifs(Historie!$E$2:$E$2000,Historie!$A$2:$A$2000,A8,Historie!$E$2:$E$2000,"&lt;&gt;")),"M"),0))</f>
        <v>0</v>
      </c>
      <c r="M8" s="1">
        <f>IF(A8="","",IFERROR(IF(AND(Parametry!$B$39="ANO",B8&lt;&gt;""),AVERAGEIFS(Historie!$C$2:$C$2000,Historie!$A$2:$A$2000,A8,Historie!$B$2:$B$2000,B8,Historie!$E$2:$E$2000,"&lt;&gt;"),AVERAGEIFS(Historie!$C$2:$C$2000,Historie!$A$2:$A$2000,A8,Historie!$E$2:$E$2000,"&lt;&gt;")),""))</f>
        <v>1005000</v>
      </c>
      <c r="N8">
        <f t="shared" ca="1" si="0"/>
        <v>63</v>
      </c>
      <c r="O8" t="str">
        <f t="shared" si="1"/>
        <v/>
      </c>
      <c r="P8" t="str">
        <f t="shared" si="2"/>
        <v>NE</v>
      </c>
      <c r="Q8" s="26">
        <f t="shared" si="3"/>
        <v>0.19900497512437812</v>
      </c>
      <c r="R8" s="14">
        <f>IF(OR(A8="",E8=""),"",IF(I8&gt;=Parametry!$B$4,Parametry!$B$9,0))</f>
        <v>40</v>
      </c>
      <c r="S8" s="14">
        <f>IF(OR(A8="",E8=""),"",IF(I8&gt;0,IF(J8&lt;=Parametry!$B$5,Parametry!$B$10,0),0))</f>
        <v>20</v>
      </c>
      <c r="T8">
        <f>IF(OR(A8="",E8=""),"",IF(I8&gt;0,IF(K8&lt;=Parametry!$B$6,Parametry!$B$11,0),0))</f>
        <v>0</v>
      </c>
      <c r="U8">
        <f ca="1">IF(OR(A8="",E8=""),"",IF(L8&gt;=Parametry!$B$7,Parametry!$B$12,0))</f>
        <v>0</v>
      </c>
      <c r="V8" s="14">
        <f>IF(OR(A8="",E8=""),"",IF(M8&gt;0,IF(Q8&lt;=Parametry!$B$8,Parametry!$B$13,0),0))</f>
        <v>10</v>
      </c>
      <c r="W8">
        <f>IF(OR(A8="",E8=""),"",IF(P8="ANO",Parametry!$B$14,0))</f>
        <v>0</v>
      </c>
      <c r="X8">
        <f>IF(OR(A8="",E8=""),"",IF(G8="ANO",Parametry!$B$15,0))</f>
        <v>0</v>
      </c>
      <c r="Y8">
        <f>IF(OR(A8="",E8=""),"",IF(H8="ANO",Parametry!$B$16,0))</f>
        <v>0</v>
      </c>
      <c r="Z8">
        <f t="shared" ca="1" si="4"/>
        <v>71</v>
      </c>
      <c r="AA8" t="str">
        <f ca="1">IF(Z8="","",IF(AW8="STOP","Stop",IF(AW8="MANUAL",IF(Z8&gt;=Parametry!$B$19,"Watchlist","Stop"),IF(Z8&gt;=Parametry!$B$17,"Nízké riziko",IF(Z8&gt;=Parametry!$B$18,"Střední riziko",IF(Z8&gt;=Parametry!$B$19,"Watchlist","Stop"))))))</f>
        <v>Střední riziko</v>
      </c>
      <c r="AB8" s="17">
        <f ca="1">IF(AA8="","",MIN(IF(AA8="Nízké riziko",Parametry!$B$20,IF(AA8="Střední riziko",Parametry!$B$21,IF(AA8="Watchlist",Parametry!$B$22,Parametry!$B$23))),IFERROR(INDEX(Ciselniky!$H$3:$H$10,MATCH(AT8,Ciselniky!$F$3:$F$10,0)),0)))</f>
        <v>0.75</v>
      </c>
      <c r="AC8" s="17">
        <f ca="1">IF(AA8="","",IF(AA8="Stop",0,IF(AA8="Nízké riziko",Parametry!$B$24,IF(AA8="Střední riziko",Parametry!$B$25,IF(AA8="Watchlist",Parametry!$B$26,0)))+IFERROR(INDEX(Ciselniky!$I$3:$I$10,MATCH(AT8,Ciselniky!$F$3:$F$10,0)),0)))</f>
        <v>0.05</v>
      </c>
      <c r="AD8" t="str">
        <f t="shared" ca="1" si="5"/>
        <v>Financovat s limitem</v>
      </c>
      <c r="AE8">
        <f t="shared" si="6"/>
        <v>200000</v>
      </c>
      <c r="AF8">
        <f t="shared" si="7"/>
        <v>200000</v>
      </c>
      <c r="AG8">
        <f>Parametry!$B$28</f>
        <v>5800000</v>
      </c>
      <c r="AH8" s="17">
        <f t="shared" si="8"/>
        <v>1</v>
      </c>
      <c r="AI8" s="17">
        <f>IFERROR(AF8/Parametry!$B$28,"")</f>
        <v>3.4482758620689655E-2</v>
      </c>
      <c r="AJ8" s="17">
        <f>IFERROR(AE8/Parametry!$B$28,"")</f>
        <v>3.4482758620689655E-2</v>
      </c>
      <c r="AK8">
        <f>IF(OR(A8="",E8=""),"",MAX(0,100-IF(Parametry!$B$27="early",0.5,IF(Parametry!$B$27="growth",0.75,1))*(IF(AI8&lt;=Parametry!$B$34,0,IF(AI8&lt;=Parametry!$B$34+0.05,8,20))+IF(AH8&lt;=Parametry!$B$35,0,12)+IF(AJ8&lt;=Parametry!$B$36,0,12))))</f>
        <v>94</v>
      </c>
      <c r="AL8" t="str">
        <f>IF(OR(A8="",E8=""),"",IF(Parametry!$B$27="early",IF(OR(AI8&gt;Parametry!$B$34*1.2,AH8&gt;Parametry!$B$35*1.3),"EARLY STAGE EXCEPTION","OK"),IF(Parametry!$B$27="growth",IF(OR(AI8&gt;Parametry!$B$34*1.35,AH8&gt;Parametry!$B$35*1.4),"RED FLAG","OK"),IF(OR(AI8&gt;Parametry!$B$34*1.2,AH8&gt;Parametry!$B$35*1.3),"RED FLAG","OK"))))</f>
        <v>EARLY STAGE EXCEPTION</v>
      </c>
      <c r="AM8">
        <f>IF(OR(A8="",E8=""),"",IF(COUNTIF($A$6:A8,A8)=1,AF8,""))</f>
        <v>200000</v>
      </c>
      <c r="AN8">
        <f t="shared" si="9"/>
        <v>0</v>
      </c>
      <c r="AO8">
        <f t="shared" si="10"/>
        <v>100000</v>
      </c>
      <c r="AP8" t="str">
        <f t="shared" si="11"/>
        <v/>
      </c>
      <c r="AQ8" s="14">
        <f t="shared" ca="1" si="12"/>
        <v>2</v>
      </c>
      <c r="AR8" t="str">
        <f t="shared" ca="1" si="13"/>
        <v>Schválit s výhradou (koncentrace / early stage)</v>
      </c>
      <c r="AS8" t="str">
        <f t="shared" ca="1" si="14"/>
        <v>71 b | Střední riziko | Financovat s limitem | gate OK | rating BBB</v>
      </c>
      <c r="AT8" s="23" t="str">
        <f>IF(A8="","",IF(COUNTIF(Ciselniky!$L$3:$L$200,A8)=0,"NR",IF(INDEX(Ciselniky!$M$3:$M$200,MATCH(A8,Ciselniky!$L$3:$L$200,0))="","NR",INDEX(Ciselniky!$M$3:$M$200,MATCH(A8,Ciselniky!$L$3:$L$200,0)))))</f>
        <v>BBB</v>
      </c>
      <c r="AU8" t="str">
        <f>IF(A8="","",IF(AT8="NR","doplňit rating v Ciselniky",IFERROR(IF(INDEX(Ciselniky!$N$3:$N$200,MATCH(A8,Ciselniky!$L$3:$L$200,0))="","anchor master",INDEX(Ciselniky!$N$3:$N$200,MATCH(A8,Ciselniky!$L$3:$L$200,0))),"anchor master")))</f>
        <v>demo / upravit</v>
      </c>
      <c r="AV8" s="14">
        <f>IF(AT8="","",IFERROR(INDEX(Ciselniky!$G$3:$G$10,MATCH(AT8,Ciselniky!$F$3:$F$10,0)),0))</f>
        <v>65</v>
      </c>
      <c r="AW8" t="str">
        <f>IF(AT8="","",IFERROR(INDEX(Ciselniky!$J$3:$J$10,MATCH(AT8,Ciselniky!$F$3:$F$10,0)),"MANUAL"))</f>
        <v>OK</v>
      </c>
      <c r="AX8" s="14">
        <f t="shared" ca="1" si="15"/>
        <v>70</v>
      </c>
      <c r="AY8" s="27">
        <f>IF(OR(A8="",E8=""),"",AV8*Parametry!$B$41)</f>
        <v>39</v>
      </c>
      <c r="AZ8" s="27">
        <f ca="1">IF(OR(A8="",E8=""),"",AX8*Parametry!$B$42)</f>
        <v>17.5</v>
      </c>
      <c r="BA8" s="27">
        <f>IF(OR(A8="",E8=""),"",AK8*Parametry!$B$43)</f>
        <v>14.1</v>
      </c>
      <c r="BB8" s="14">
        <f>IF(OR(A8="",E8=""),"",IF(AW8="STOP",-100,IF(AT8="BB",Parametry!$B$47,IF(AT8="NR",Parametry!$B$48,0))))</f>
        <v>0</v>
      </c>
    </row>
    <row r="9" spans="1:54" ht="21.75" customHeight="1" x14ac:dyDescent="0.2">
      <c r="A9" s="23" t="s">
        <v>60</v>
      </c>
      <c r="B9" s="23" t="s">
        <v>57</v>
      </c>
      <c r="C9" s="23" t="s">
        <v>42</v>
      </c>
      <c r="D9" s="23" t="s">
        <v>142</v>
      </c>
      <c r="E9" s="23">
        <v>100000</v>
      </c>
      <c r="F9" s="24">
        <v>46183</v>
      </c>
      <c r="G9" s="23" t="s">
        <v>81</v>
      </c>
      <c r="H9" s="23" t="s">
        <v>81</v>
      </c>
      <c r="I9">
        <f>IF(A9="","",IF(AND(Parametry!$B$39="ANO",B9&lt;&gt;""),COUNTIFS(Historie!$A$2:$A$2000,A9,Historie!$B$2:$B$2000,B9,Historie!$E$2:$E$2000,"&lt;&gt;"),COUNTIFS(Historie!$A$2:$A$2000,A9,Historie!$E$2:$E$2000,"&lt;&gt;")))</f>
        <v>7</v>
      </c>
      <c r="J9" s="14">
        <f>IF(I9=0,"",IFERROR(IF(AND(Parametry!$B$39="ANO",B9&lt;&gt;""),AVERAGEIFS(Historie!$F$2:$F$2000,Historie!$A$2:$A$2000,A9,Historie!$B$2:$B$2000,B9,Historie!$E$2:$E$2000,"&lt;&gt;"),AVERAGEIFS(Historie!$F$2:$F$2000,Historie!$A$2:$A$2000,A9,Historie!$E$2:$E$2000,"&lt;&gt;")),""))</f>
        <v>-0.14285714285714285</v>
      </c>
      <c r="K9" s="25">
        <f>IF(I9=0,"",IFERROR(IF(AND(Parametry!$B$39="ANO",B9&lt;&gt;""),COUNTIFS(Historie!$A$2:$A$2000,A9,Historie!$B$2:$B$2000,B9,Historie!$E$2:$E$2000,"&lt;&gt;",Historie!$F$2:$F$2000,"&gt;0")/I9,COUNTIFS(Historie!$A$2:$A$2000,A9,Historie!$E$2:$E$2000,"&lt;&gt;",Historie!$F$2:$F$2000,"&gt;0")/I9),0))</f>
        <v>0.14285714285714285</v>
      </c>
      <c r="L9">
        <f ca="1">IF(OR(A9="",I9=0),"",IFERROR(DATEDIF(IF(AND(Parametry!$B$39="ANO",B9&lt;&gt;""),_xludf.minifs(Historie!$E$2:$E$2000,Historie!$A$2:$A$2000,A9,Historie!$B$2:$B$2000,B9,Historie!$E$2:$E$2000,"&lt;&gt;"),_xludf.minifs(Historie!$E$2:$E$2000,Historie!$A$2:$A$2000,A9,Historie!$E$2:$E$2000,"&lt;&gt;")),IF(AND(Parametry!$B$39="ANO",B9&lt;&gt;""),_xludf.maxifs(Historie!$E$2:$E$2000,Historie!$A$2:$A$2000,A9,Historie!$B$2:$B$2000,B9,Historie!$E$2:$E$2000,"&lt;&gt;"),_xludf.maxifs(Historie!$E$2:$E$2000,Historie!$A$2:$A$2000,A9,Historie!$E$2:$E$2000,"&lt;&gt;")),"M"),0))</f>
        <v>0</v>
      </c>
      <c r="M9" s="1">
        <f>IF(A9="","",IFERROR(IF(AND(Parametry!$B$39="ANO",B9&lt;&gt;""),AVERAGEIFS(Historie!$C$2:$C$2000,Historie!$A$2:$A$2000,A9,Historie!$B$2:$B$2000,B9,Historie!$E$2:$E$2000,"&lt;&gt;"),AVERAGEIFS(Historie!$C$2:$C$2000,Historie!$A$2:$A$2000,A9,Historie!$E$2:$E$2000,"&lt;&gt;")),""))</f>
        <v>1847142.857142857</v>
      </c>
      <c r="N9">
        <f t="shared" ca="1" si="0"/>
        <v>63</v>
      </c>
      <c r="O9">
        <f t="shared" ca="1" si="1"/>
        <v>63</v>
      </c>
      <c r="P9" t="str">
        <f t="shared" si="2"/>
        <v>NE</v>
      </c>
      <c r="Q9" s="26">
        <f t="shared" si="3"/>
        <v>5.4137664346481054E-2</v>
      </c>
      <c r="R9" s="14">
        <f>IF(OR(A9="",E9=""),"",IF(I9&gt;=Parametry!$B$4,Parametry!$B$9,0))</f>
        <v>40</v>
      </c>
      <c r="S9" s="14">
        <f>IF(OR(A9="",E9=""),"",IF(I9&gt;0,IF(J9&lt;=Parametry!$B$5,Parametry!$B$10,0),0))</f>
        <v>20</v>
      </c>
      <c r="T9" s="14">
        <f>IF(OR(A9="",E9=""),"",IF(I9&gt;0,IF(K9&lt;=Parametry!$B$6,Parametry!$B$11,0),0))</f>
        <v>15</v>
      </c>
      <c r="U9">
        <f ca="1">IF(OR(A9="",E9=""),"",IF(L9&gt;=Parametry!$B$7,Parametry!$B$12,0))</f>
        <v>0</v>
      </c>
      <c r="V9" s="14">
        <f>IF(OR(A9="",E9=""),"",IF(M9&gt;0,IF(Q9&lt;=Parametry!$B$8,Parametry!$B$13,0),0))</f>
        <v>10</v>
      </c>
      <c r="W9">
        <f>IF(OR(A9="",E9=""),"",IF(P9="ANO",Parametry!$B$14,0))</f>
        <v>0</v>
      </c>
      <c r="X9">
        <f>IF(OR(A9="",E9=""),"",IF(G9="ANO",Parametry!$B$15,0))</f>
        <v>0</v>
      </c>
      <c r="Y9">
        <f>IF(OR(A9="",E9=""),"",IF(H9="ANO",Parametry!$B$16,0))</f>
        <v>0</v>
      </c>
      <c r="Z9">
        <f t="shared" ca="1" si="4"/>
        <v>89</v>
      </c>
      <c r="AA9" t="str">
        <f ca="1">IF(Z9="","",IF(AW9="STOP","Stop",IF(AW9="MANUAL",IF(Z9&gt;=Parametry!$B$19,"Watchlist","Stop"),IF(Z9&gt;=Parametry!$B$17,"Nízké riziko",IF(Z9&gt;=Parametry!$B$18,"Střední riziko",IF(Z9&gt;=Parametry!$B$19,"Watchlist","Stop"))))))</f>
        <v>Nízké riziko</v>
      </c>
      <c r="AB9" s="17">
        <f ca="1">IF(AA9="","",MIN(IF(AA9="Nízké riziko",Parametry!$B$20,IF(AA9="Střední riziko",Parametry!$B$21,IF(AA9="Watchlist",Parametry!$B$22,Parametry!$B$23))),IFERROR(INDEX(Ciselniky!$H$3:$H$10,MATCH(AT9,Ciselniky!$F$3:$F$10,0)),0)))</f>
        <v>0.8</v>
      </c>
      <c r="AC9" s="17">
        <f ca="1">IF(AA9="","",IF(AA9="Stop",0,IF(AA9="Nízké riziko",Parametry!$B$24,IF(AA9="Střední riziko",Parametry!$B$25,IF(AA9="Watchlist",Parametry!$B$26,0)))+IFERROR(INDEX(Ciselniky!$I$3:$I$10,MATCH(AT9,Ciselniky!$F$3:$F$10,0)),0)))</f>
        <v>2.5000000000000001E-2</v>
      </c>
      <c r="AD9" t="str">
        <f t="shared" ca="1" si="5"/>
        <v>Financovat</v>
      </c>
      <c r="AE9">
        <f t="shared" si="6"/>
        <v>100000</v>
      </c>
      <c r="AF9">
        <f t="shared" si="7"/>
        <v>3000000</v>
      </c>
      <c r="AG9">
        <f>Parametry!$B$28</f>
        <v>5800000</v>
      </c>
      <c r="AH9" s="17">
        <f t="shared" si="8"/>
        <v>3.3333333333333333E-2</v>
      </c>
      <c r="AI9" s="17">
        <f>IFERROR(AF9/Parametry!$B$28,"")</f>
        <v>0.51724137931034486</v>
      </c>
      <c r="AJ9" s="17">
        <f>IFERROR(AE9/Parametry!$B$28,"")</f>
        <v>1.7241379310344827E-2</v>
      </c>
      <c r="AK9">
        <f>IF(OR(A9="",E9=""),"",MAX(0,100-IF(Parametry!$B$27="early",0.5,IF(Parametry!$B$27="growth",0.75,1))*(IF(AI9&lt;=Parametry!$B$34,0,IF(AI9&lt;=Parametry!$B$34+0.05,8,20))+IF(AH9&lt;=Parametry!$B$35,0,12)+IF(AJ9&lt;=Parametry!$B$36,0,12))))</f>
        <v>90</v>
      </c>
      <c r="AL9" t="str">
        <f>IF(OR(A9="",E9=""),"",IF(Parametry!$B$27="early",IF(OR(AI9&gt;Parametry!$B$34*1.2,AH9&gt;Parametry!$B$35*1.3),"EARLY STAGE EXCEPTION","OK"),IF(Parametry!$B$27="growth",IF(OR(AI9&gt;Parametry!$B$34*1.35,AH9&gt;Parametry!$B$35*1.4),"RED FLAG","OK"),IF(OR(AI9&gt;Parametry!$B$34*1.2,AH9&gt;Parametry!$B$35*1.3),"RED FLAG","OK"))))</f>
        <v>EARLY STAGE EXCEPTION</v>
      </c>
      <c r="AM9" t="str">
        <f>IF(OR(A9="",E9=""),"",IF(COUNTIF($A$6:A9,A9)=1,AF9,""))</f>
        <v/>
      </c>
      <c r="AN9">
        <f t="shared" si="9"/>
        <v>2600000</v>
      </c>
      <c r="AO9">
        <f t="shared" si="10"/>
        <v>100000</v>
      </c>
      <c r="AP9">
        <f t="shared" ca="1" si="11"/>
        <v>63</v>
      </c>
      <c r="AQ9" s="14">
        <f t="shared" ca="1" si="12"/>
        <v>2</v>
      </c>
      <c r="AR9" t="str">
        <f t="shared" ca="1" si="13"/>
        <v>Schválit s výhradou (koncentrace / early stage)</v>
      </c>
      <c r="AS9" t="str">
        <f t="shared" ca="1" si="14"/>
        <v>89 b | Nízké riziko | Financovat | gate OK | rating AA</v>
      </c>
      <c r="AT9" s="23" t="str">
        <f>IF(A9="","",IF(COUNTIF(Ciselniky!$L$3:$L$200,A9)=0,"NR",IF(INDEX(Ciselniky!$M$3:$M$200,MATCH(A9,Ciselniky!$L$3:$L$200,0))="","NR",INDEX(Ciselniky!$M$3:$M$200,MATCH(A9,Ciselniky!$L$3:$L$200,0)))))</f>
        <v>AA</v>
      </c>
      <c r="AU9" t="str">
        <f>IF(A9="","",IF(AT9="NR","doplňit rating v Ciselniky",IFERROR(IF(INDEX(Ciselniky!$N$3:$N$200,MATCH(A9,Ciselniky!$L$3:$L$200,0))="","anchor master",INDEX(Ciselniky!$N$3:$N$200,MATCH(A9,Ciselniky!$L$3:$L$200,0))),"anchor master")))</f>
        <v>doplňte interní / externí rating</v>
      </c>
      <c r="AV9" s="14">
        <f>IF(AT9="","",IFERROR(INDEX(Ciselniky!$G$3:$G$10,MATCH(AT9,Ciselniky!$F$3:$F$10,0)),0))</f>
        <v>90</v>
      </c>
      <c r="AW9" t="str">
        <f>IF(AT9="","",IFERROR(INDEX(Ciselniky!$J$3:$J$10,MATCH(AT9,Ciselniky!$F$3:$F$10,0)),"MANUAL"))</f>
        <v>OK</v>
      </c>
      <c r="AX9" s="14">
        <f t="shared" ca="1" si="15"/>
        <v>85</v>
      </c>
      <c r="AY9" s="27">
        <f>IF(OR(A9="",E9=""),"",AV9*Parametry!$B$41)</f>
        <v>54</v>
      </c>
      <c r="AZ9" s="27">
        <f ca="1">IF(OR(A9="",E9=""),"",AX9*Parametry!$B$42)</f>
        <v>21.25</v>
      </c>
      <c r="BA9" s="27">
        <f>IF(OR(A9="",E9=""),"",AK9*Parametry!$B$43)</f>
        <v>13.5</v>
      </c>
      <c r="BB9" s="14">
        <f>IF(OR(A9="",E9=""),"",IF(AW9="STOP",-100,IF(AT9="BB",Parametry!$B$47,IF(AT9="NR",Parametry!$B$48,0))))</f>
        <v>0</v>
      </c>
    </row>
    <row r="10" spans="1:54" ht="21.75" customHeight="1" x14ac:dyDescent="0.2">
      <c r="A10" s="23" t="s">
        <v>60</v>
      </c>
      <c r="B10" s="23" t="s">
        <v>61</v>
      </c>
      <c r="C10" s="23" t="s">
        <v>51</v>
      </c>
      <c r="D10" s="23" t="s">
        <v>143</v>
      </c>
      <c r="E10" s="23">
        <v>200000</v>
      </c>
      <c r="F10" s="24">
        <v>46183</v>
      </c>
      <c r="G10" s="23" t="s">
        <v>81</v>
      </c>
      <c r="H10" s="23" t="s">
        <v>81</v>
      </c>
      <c r="I10">
        <f>IF(A10="","",IF(AND(Parametry!$B$39="ANO",B10&lt;&gt;""),COUNTIFS(Historie!$A$2:$A$2000,A10,Historie!$B$2:$B$2000,B10,Historie!$E$2:$E$2000,"&lt;&gt;"),COUNTIFS(Historie!$A$2:$A$2000,A10,Historie!$E$2:$E$2000,"&lt;&gt;")))</f>
        <v>7</v>
      </c>
      <c r="J10" s="14">
        <f>IF(I10=0,"",IFERROR(IF(AND(Parametry!$B$39="ANO",B10&lt;&gt;""),AVERAGEIFS(Historie!$F$2:$F$2000,Historie!$A$2:$A$2000,A10,Historie!$B$2:$B$2000,B10,Historie!$E$2:$E$2000,"&lt;&gt;"),AVERAGEIFS(Historie!$F$2:$F$2000,Historie!$A$2:$A$2000,A10,Historie!$E$2:$E$2000,"&lt;&gt;")),""))</f>
        <v>-0.14285714285714285</v>
      </c>
      <c r="K10" s="25">
        <f>IF(I10=0,"",IFERROR(IF(AND(Parametry!$B$39="ANO",B10&lt;&gt;""),COUNTIFS(Historie!$A$2:$A$2000,A10,Historie!$B$2:$B$2000,B10,Historie!$E$2:$E$2000,"&lt;&gt;",Historie!$F$2:$F$2000,"&gt;0")/I10,COUNTIFS(Historie!$A$2:$A$2000,A10,Historie!$E$2:$E$2000,"&lt;&gt;",Historie!$F$2:$F$2000,"&gt;0")/I10),0))</f>
        <v>0.14285714285714285</v>
      </c>
      <c r="L10">
        <f ca="1">IF(OR(A10="",I10=0),"",IFERROR(DATEDIF(IF(AND(Parametry!$B$39="ANO",B10&lt;&gt;""),_xludf.minifs(Historie!$E$2:$E$2000,Historie!$A$2:$A$2000,A10,Historie!$B$2:$B$2000,B10,Historie!$E$2:$E$2000,"&lt;&gt;"),_xludf.minifs(Historie!$E$2:$E$2000,Historie!$A$2:$A$2000,A10,Historie!$E$2:$E$2000,"&lt;&gt;")),IF(AND(Parametry!$B$39="ANO",B10&lt;&gt;""),_xludf.maxifs(Historie!$E$2:$E$2000,Historie!$A$2:$A$2000,A10,Historie!$B$2:$B$2000,B10,Historie!$E$2:$E$2000,"&lt;&gt;"),_xludf.maxifs(Historie!$E$2:$E$2000,Historie!$A$2:$A$2000,A10,Historie!$E$2:$E$2000,"&lt;&gt;")),"M"),0))</f>
        <v>0</v>
      </c>
      <c r="M10" s="1">
        <f>IF(A10="","",IFERROR(IF(AND(Parametry!$B$39="ANO",B10&lt;&gt;""),AVERAGEIFS(Historie!$C$2:$C$2000,Historie!$A$2:$A$2000,A10,Historie!$B$2:$B$2000,B10,Historie!$E$2:$E$2000,"&lt;&gt;"),AVERAGEIFS(Historie!$C$2:$C$2000,Historie!$A$2:$A$2000,A10,Historie!$E$2:$E$2000,"&lt;&gt;")),""))</f>
        <v>1847142.857142857</v>
      </c>
      <c r="N10">
        <f t="shared" ca="1" si="0"/>
        <v>63</v>
      </c>
      <c r="O10" t="str">
        <f t="shared" si="1"/>
        <v/>
      </c>
      <c r="P10" t="str">
        <f t="shared" si="2"/>
        <v>NE</v>
      </c>
      <c r="Q10" s="26">
        <f t="shared" si="3"/>
        <v>0.10827532869296211</v>
      </c>
      <c r="R10" s="14">
        <f>IF(OR(A10="",E10=""),"",IF(I10&gt;=Parametry!$B$4,Parametry!$B$9,0))</f>
        <v>40</v>
      </c>
      <c r="S10" s="14">
        <f>IF(OR(A10="",E10=""),"",IF(I10&gt;0,IF(J10&lt;=Parametry!$B$5,Parametry!$B$10,0),0))</f>
        <v>20</v>
      </c>
      <c r="T10" s="14">
        <f>IF(OR(A10="",E10=""),"",IF(I10&gt;0,IF(K10&lt;=Parametry!$B$6,Parametry!$B$11,0),0))</f>
        <v>15</v>
      </c>
      <c r="U10">
        <f ca="1">IF(OR(A10="",E10=""),"",IF(L10&gt;=Parametry!$B$7,Parametry!$B$12,0))</f>
        <v>0</v>
      </c>
      <c r="V10" s="14">
        <f>IF(OR(A10="",E10=""),"",IF(M10&gt;0,IF(Q10&lt;=Parametry!$B$8,Parametry!$B$13,0),0))</f>
        <v>10</v>
      </c>
      <c r="W10">
        <f>IF(OR(A10="",E10=""),"",IF(P10="ANO",Parametry!$B$14,0))</f>
        <v>0</v>
      </c>
      <c r="X10">
        <f>IF(OR(A10="",E10=""),"",IF(G10="ANO",Parametry!$B$15,0))</f>
        <v>0</v>
      </c>
      <c r="Y10">
        <f>IF(OR(A10="",E10=""),"",IF(H10="ANO",Parametry!$B$16,0))</f>
        <v>0</v>
      </c>
      <c r="Z10">
        <f t="shared" ca="1" si="4"/>
        <v>89</v>
      </c>
      <c r="AA10" t="str">
        <f ca="1">IF(Z10="","",IF(AW10="STOP","Stop",IF(AW10="MANUAL",IF(Z10&gt;=Parametry!$B$19,"Watchlist","Stop"),IF(Z10&gt;=Parametry!$B$17,"Nízké riziko",IF(Z10&gt;=Parametry!$B$18,"Střední riziko",IF(Z10&gt;=Parametry!$B$19,"Watchlist","Stop"))))))</f>
        <v>Nízké riziko</v>
      </c>
      <c r="AB10" s="17">
        <f ca="1">IF(AA10="","",MIN(IF(AA10="Nízké riziko",Parametry!$B$20,IF(AA10="Střední riziko",Parametry!$B$21,IF(AA10="Watchlist",Parametry!$B$22,Parametry!$B$23))),IFERROR(INDEX(Ciselniky!$H$3:$H$10,MATCH(AT10,Ciselniky!$F$3:$F$10,0)),0)))</f>
        <v>0.8</v>
      </c>
      <c r="AC10" s="17">
        <f ca="1">IF(AA10="","",IF(AA10="Stop",0,IF(AA10="Nízké riziko",Parametry!$B$24,IF(AA10="Střední riziko",Parametry!$B$25,IF(AA10="Watchlist",Parametry!$B$26,0)))+IFERROR(INDEX(Ciselniky!$I$3:$I$10,MATCH(AT10,Ciselniky!$F$3:$F$10,0)),0)))</f>
        <v>2.5000000000000001E-2</v>
      </c>
      <c r="AD10" t="str">
        <f t="shared" ca="1" si="5"/>
        <v>Financovat</v>
      </c>
      <c r="AE10">
        <f t="shared" si="6"/>
        <v>200000</v>
      </c>
      <c r="AF10">
        <f t="shared" si="7"/>
        <v>3000000</v>
      </c>
      <c r="AG10">
        <f>Parametry!$B$28</f>
        <v>5800000</v>
      </c>
      <c r="AH10" s="17">
        <f t="shared" si="8"/>
        <v>6.6666666666666666E-2</v>
      </c>
      <c r="AI10" s="17">
        <f>IFERROR(AF10/Parametry!$B$28,"")</f>
        <v>0.51724137931034486</v>
      </c>
      <c r="AJ10" s="17">
        <f>IFERROR(AE10/Parametry!$B$28,"")</f>
        <v>3.4482758620689655E-2</v>
      </c>
      <c r="AK10">
        <f>IF(OR(A10="",E10=""),"",MAX(0,100-IF(Parametry!$B$27="early",0.5,IF(Parametry!$B$27="growth",0.75,1))*(IF(AI10&lt;=Parametry!$B$34,0,IF(AI10&lt;=Parametry!$B$34+0.05,8,20))+IF(AH10&lt;=Parametry!$B$35,0,12)+IF(AJ10&lt;=Parametry!$B$36,0,12))))</f>
        <v>90</v>
      </c>
      <c r="AL10" t="str">
        <f>IF(OR(A10="",E10=""),"",IF(Parametry!$B$27="early",IF(OR(AI10&gt;Parametry!$B$34*1.2,AH10&gt;Parametry!$B$35*1.3),"EARLY STAGE EXCEPTION","OK"),IF(Parametry!$B$27="growth",IF(OR(AI10&gt;Parametry!$B$34*1.35,AH10&gt;Parametry!$B$35*1.4),"RED FLAG","OK"),IF(OR(AI10&gt;Parametry!$B$34*1.2,AH10&gt;Parametry!$B$35*1.3),"RED FLAG","OK"))))</f>
        <v>EARLY STAGE EXCEPTION</v>
      </c>
      <c r="AM10" t="str">
        <f>IF(OR(A10="",E10=""),"",IF(COUNTIF($A$6:A10,A10)=1,AF10,""))</f>
        <v/>
      </c>
      <c r="AN10">
        <f t="shared" si="9"/>
        <v>2600000</v>
      </c>
      <c r="AO10">
        <f t="shared" si="10"/>
        <v>2500000</v>
      </c>
      <c r="AP10" t="str">
        <f t="shared" si="11"/>
        <v/>
      </c>
      <c r="AQ10" s="14">
        <f t="shared" ca="1" si="12"/>
        <v>2</v>
      </c>
      <c r="AR10" t="str">
        <f t="shared" ca="1" si="13"/>
        <v>Schválit s výhradou (koncentrace / early stage)</v>
      </c>
      <c r="AS10" t="str">
        <f t="shared" ca="1" si="14"/>
        <v>89 b | Nízké riziko | Financovat | gate OK | rating AA</v>
      </c>
      <c r="AT10" s="23" t="str">
        <f>IF(A10="","",IF(COUNTIF(Ciselniky!$L$3:$L$200,A10)=0,"NR",IF(INDEX(Ciselniky!$M$3:$M$200,MATCH(A10,Ciselniky!$L$3:$L$200,0))="","NR",INDEX(Ciselniky!$M$3:$M$200,MATCH(A10,Ciselniky!$L$3:$L$200,0)))))</f>
        <v>AA</v>
      </c>
      <c r="AU10" t="str">
        <f>IF(A10="","",IF(AT10="NR","doplňit rating v Ciselniky",IFERROR(IF(INDEX(Ciselniky!$N$3:$N$200,MATCH(A10,Ciselniky!$L$3:$L$200,0))="","anchor master",INDEX(Ciselniky!$N$3:$N$200,MATCH(A10,Ciselniky!$L$3:$L$200,0))),"anchor master")))</f>
        <v>doplňte interní / externí rating</v>
      </c>
      <c r="AV10" s="14">
        <f>IF(AT10="","",IFERROR(INDEX(Ciselniky!$G$3:$G$10,MATCH(AT10,Ciselniky!$F$3:$F$10,0)),0))</f>
        <v>90</v>
      </c>
      <c r="AW10" t="str">
        <f>IF(AT10="","",IFERROR(INDEX(Ciselniky!$J$3:$J$10,MATCH(AT10,Ciselniky!$F$3:$F$10,0)),"MANUAL"))</f>
        <v>OK</v>
      </c>
      <c r="AX10" s="14">
        <f t="shared" ca="1" si="15"/>
        <v>85</v>
      </c>
      <c r="AY10" s="27">
        <f>IF(OR(A10="",E10=""),"",AV10*Parametry!$B$41)</f>
        <v>54</v>
      </c>
      <c r="AZ10" s="27">
        <f ca="1">IF(OR(A10="",E10=""),"",AX10*Parametry!$B$42)</f>
        <v>21.25</v>
      </c>
      <c r="BA10" s="27">
        <f>IF(OR(A10="",E10=""),"",AK10*Parametry!$B$43)</f>
        <v>13.5</v>
      </c>
      <c r="BB10" s="14">
        <f>IF(OR(A10="",E10=""),"",IF(AW10="STOP",-100,IF(AT10="BB",Parametry!$B$47,IF(AT10="NR",Parametry!$B$48,0))))</f>
        <v>0</v>
      </c>
    </row>
    <row r="11" spans="1:54" ht="21.75" customHeight="1" x14ac:dyDescent="0.2">
      <c r="A11" s="23" t="s">
        <v>63</v>
      </c>
      <c r="B11" s="23" t="s">
        <v>64</v>
      </c>
      <c r="C11" s="23" t="s">
        <v>42</v>
      </c>
      <c r="D11" s="23" t="s">
        <v>251</v>
      </c>
      <c r="E11" s="23">
        <v>850000</v>
      </c>
      <c r="F11" s="24">
        <v>46184</v>
      </c>
      <c r="G11" s="23" t="s">
        <v>81</v>
      </c>
      <c r="H11" s="23" t="s">
        <v>81</v>
      </c>
      <c r="I11">
        <f>IF(A11="","",IF(AND(Parametry!$B$39="ANO",B11&lt;&gt;""),COUNTIFS(Historie!$A$2:$A$2000,A11,Historie!$B$2:$B$2000,B11,Historie!$E$2:$E$2000,"&lt;&gt;"),COUNTIFS(Historie!$A$2:$A$2000,A11,Historie!$E$2:$E$2000,"&lt;&gt;")))</f>
        <v>1</v>
      </c>
      <c r="J11" s="14">
        <f>IF(I11=0,"",IFERROR(IF(AND(Parametry!$B$39="ANO",B11&lt;&gt;""),AVERAGEIFS(Historie!$F$2:$F$2000,Historie!$A$2:$A$2000,A11,Historie!$B$2:$B$2000,B11,Historie!$E$2:$E$2000,"&lt;&gt;"),AVERAGEIFS(Historie!$F$2:$F$2000,Historie!$A$2:$A$2000,A11,Historie!$E$2:$E$2000,"&lt;&gt;")),""))</f>
        <v>5</v>
      </c>
      <c r="K11" s="25">
        <f>IF(I11=0,"",IFERROR(IF(AND(Parametry!$B$39="ANO",B11&lt;&gt;""),COUNTIFS(Historie!$A$2:$A$2000,A11,Historie!$B$2:$B$2000,B11,Historie!$E$2:$E$2000,"&lt;&gt;",Historie!$F$2:$F$2000,"&gt;0")/I11,COUNTIFS(Historie!$A$2:$A$2000,A11,Historie!$E$2:$E$2000,"&lt;&gt;",Historie!$F$2:$F$2000,"&gt;0")/I11),0))</f>
        <v>1</v>
      </c>
      <c r="L11">
        <f ca="1">IF(OR(A11="",I11=0),"",IFERROR(DATEDIF(IF(AND(Parametry!$B$39="ANO",B11&lt;&gt;""),_xludf.minifs(Historie!$E$2:$E$2000,Historie!$A$2:$A$2000,A11,Historie!$B$2:$B$2000,B11,Historie!$E$2:$E$2000,"&lt;&gt;"),_xludf.minifs(Historie!$E$2:$E$2000,Historie!$A$2:$A$2000,A11,Historie!$E$2:$E$2000,"&lt;&gt;")),IF(AND(Parametry!$B$39="ANO",B11&lt;&gt;""),_xludf.maxifs(Historie!$E$2:$E$2000,Historie!$A$2:$A$2000,A11,Historie!$B$2:$B$2000,B11,Historie!$E$2:$E$2000,"&lt;&gt;"),_xludf.maxifs(Historie!$E$2:$E$2000,Historie!$A$2:$A$2000,A11,Historie!$E$2:$E$2000,"&lt;&gt;")),"M"),0))</f>
        <v>0</v>
      </c>
      <c r="M11" s="1">
        <f>IF(A11="","",IFERROR(IF(AND(Parametry!$B$39="ANO",B11&lt;&gt;""),AVERAGEIFS(Historie!$C$2:$C$2000,Historie!$A$2:$A$2000,A11,Historie!$B$2:$B$2000,B11,Historie!$E$2:$E$2000,"&lt;&gt;"),AVERAGEIFS(Historie!$C$2:$C$2000,Historie!$A$2:$A$2000,A11,Historie!$E$2:$E$2000,"&lt;&gt;")),""))</f>
        <v>975000</v>
      </c>
      <c r="N11">
        <f t="shared" ca="1" si="0"/>
        <v>64</v>
      </c>
      <c r="O11">
        <f t="shared" ca="1" si="1"/>
        <v>64</v>
      </c>
      <c r="P11" t="str">
        <f t="shared" si="2"/>
        <v>NE</v>
      </c>
      <c r="Q11" s="26">
        <f t="shared" si="3"/>
        <v>0.87179487179487181</v>
      </c>
      <c r="R11">
        <f>IF(OR(A11="",E11=""),"",IF(I11&gt;=Parametry!$B$4,Parametry!$B$9,0))</f>
        <v>0</v>
      </c>
      <c r="S11">
        <f>IF(OR(A11="",E11=""),"",IF(I11&gt;0,IF(J11&lt;=Parametry!$B$5,Parametry!$B$10,0),0))</f>
        <v>20</v>
      </c>
      <c r="T11">
        <f>IF(OR(A11="",E11=""),"",IF(I11&gt;0,IF(K11&lt;=Parametry!$B$6,Parametry!$B$11,0),0))</f>
        <v>0</v>
      </c>
      <c r="U11">
        <f ca="1">IF(OR(A11="",E11=""),"",IF(L11&gt;=Parametry!$B$7,Parametry!$B$12,0))</f>
        <v>0</v>
      </c>
      <c r="V11">
        <f>IF(OR(A11="",E11=""),"",IF(M11&gt;0,IF(Q11&lt;=Parametry!$B$8,Parametry!$B$13,0),0))</f>
        <v>10</v>
      </c>
      <c r="W11">
        <f>IF(OR(A11="",E11=""),"",IF(P11="ANO",Parametry!$B$14,0))</f>
        <v>0</v>
      </c>
      <c r="X11">
        <f>IF(OR(A11="",E11=""),"",IF(G11="ANO",Parametry!$B$15,0))</f>
        <v>0</v>
      </c>
      <c r="Y11">
        <f>IF(OR(A11="",E11=""),"",IF(H11="ANO",Parametry!$B$16,0))</f>
        <v>0</v>
      </c>
      <c r="Z11">
        <f t="shared" ca="1" si="4"/>
        <v>70</v>
      </c>
      <c r="AA11" t="str">
        <f ca="1">IF(Z11="","",IF(AW11="STOP","Stop",IF(AW11="MANUAL",IF(Z11&gt;=Parametry!$B$19,"Watchlist","Stop"),IF(Z11&gt;=Parametry!$B$17,"Nízké riziko",IF(Z11&gt;=Parametry!$B$18,"Střední riziko",IF(Z11&gt;=Parametry!$B$19,"Watchlist","Stop"))))))</f>
        <v>Střední riziko</v>
      </c>
      <c r="AB11" s="17">
        <f ca="1">IF(AA11="","",MIN(IF(AA11="Nízké riziko",Parametry!$B$20,IF(AA11="Střední riziko",Parametry!$B$21,IF(AA11="Watchlist",Parametry!$B$22,Parametry!$B$23))),IFERROR(INDEX(Ciselniky!$H$3:$H$10,MATCH(AT11,Ciselniky!$F$3:$F$10,0)),0)))</f>
        <v>0.75</v>
      </c>
      <c r="AC11" s="17">
        <f ca="1">IF(AA11="","",IF(AA11="Stop",0,IF(AA11="Nízké riziko",Parametry!$B$24,IF(AA11="Střední riziko",Parametry!$B$25,IF(AA11="Watchlist",Parametry!$B$26,0)))+IFERROR(INDEX(Ciselniky!$I$3:$I$10,MATCH(AT11,Ciselniky!$F$3:$F$10,0)),0)))</f>
        <v>4.4999999999999998E-2</v>
      </c>
      <c r="AD11" t="str">
        <f t="shared" ca="1" si="5"/>
        <v>Financovat s limitem</v>
      </c>
      <c r="AE11">
        <f t="shared" si="6"/>
        <v>850000</v>
      </c>
      <c r="AF11">
        <f t="shared" si="7"/>
        <v>1700000</v>
      </c>
      <c r="AG11">
        <f>Parametry!$B$28</f>
        <v>5800000</v>
      </c>
      <c r="AH11" s="17">
        <f t="shared" si="8"/>
        <v>0.5</v>
      </c>
      <c r="AI11" s="17">
        <f>IFERROR(AF11/Parametry!$B$28,"")</f>
        <v>0.29310344827586204</v>
      </c>
      <c r="AJ11" s="17">
        <f>IFERROR(AE11/Parametry!$B$28,"")</f>
        <v>0.14655172413793102</v>
      </c>
      <c r="AK11">
        <f>IF(OR(A11="",E11=""),"",MAX(0,100-IF(Parametry!$B$27="early",0.5,IF(Parametry!$B$27="growth",0.75,1))*(IF(AI11&lt;=Parametry!$B$34,0,IF(AI11&lt;=Parametry!$B$34+0.05,8,20))+IF(AH11&lt;=Parametry!$B$35,0,12)+IF(AJ11&lt;=Parametry!$B$36,0,12))))</f>
        <v>94</v>
      </c>
      <c r="AL11" t="str">
        <f>IF(OR(A11="",E11=""),"",IF(Parametry!$B$27="early",IF(OR(AI11&gt;Parametry!$B$34*1.2,AH11&gt;Parametry!$B$35*1.3),"EARLY STAGE EXCEPTION","OK"),IF(Parametry!$B$27="growth",IF(OR(AI11&gt;Parametry!$B$34*1.35,AH11&gt;Parametry!$B$35*1.4),"RED FLAG","OK"),IF(OR(AI11&gt;Parametry!$B$34*1.2,AH11&gt;Parametry!$B$35*1.3),"RED FLAG","OK"))))</f>
        <v>EARLY STAGE EXCEPTION</v>
      </c>
      <c r="AM11">
        <f>IF(OR(A11="",E11=""),"",IF(COUNTIF($A$6:A11,A11)=1,AF11,""))</f>
        <v>1700000</v>
      </c>
      <c r="AN11">
        <f t="shared" si="9"/>
        <v>1700000</v>
      </c>
      <c r="AO11">
        <f t="shared" si="10"/>
        <v>1700000</v>
      </c>
      <c r="AP11">
        <f t="shared" ca="1" si="11"/>
        <v>64</v>
      </c>
      <c r="AQ11" s="14">
        <f t="shared" ca="1" si="12"/>
        <v>2</v>
      </c>
      <c r="AR11" t="str">
        <f t="shared" ca="1" si="13"/>
        <v>Schválit s výhradou (koncentrace / early stage)</v>
      </c>
      <c r="AS11" t="str">
        <f t="shared" ca="1" si="14"/>
        <v>70 b | Střední riziko | Financovat s limitem | gate OK | rating A</v>
      </c>
      <c r="AT11" s="23" t="str">
        <f>IF(A11="","",IF(COUNTIF(Ciselniky!$L$3:$L$200,A11)=0,"NR",IF(INDEX(Ciselniky!$M$3:$M$200,MATCH(A11,Ciselniky!$L$3:$L$200,0))="","NR",INDEX(Ciselniky!$M$3:$M$200,MATCH(A11,Ciselniky!$L$3:$L$200,0)))))</f>
        <v>A</v>
      </c>
      <c r="AU11" t="str">
        <f>IF(A11="","",IF(AT11="NR","doplňit rating v Ciselniky",IFERROR(IF(INDEX(Ciselniky!$N$3:$N$200,MATCH(A11,Ciselniky!$L$3:$L$200,0))="","anchor master",INDEX(Ciselniky!$N$3:$N$200,MATCH(A11,Ciselniky!$L$3:$L$200,0))),"anchor master")))</f>
        <v>doplňte interní / externí rating</v>
      </c>
      <c r="AV11" s="14">
        <f>IF(AT11="","",IFERROR(INDEX(Ciselniky!$G$3:$G$10,MATCH(AT11,Ciselniky!$F$3:$F$10,0)),0))</f>
        <v>80</v>
      </c>
      <c r="AW11" t="str">
        <f>IF(AT11="","",IFERROR(INDEX(Ciselniky!$J$3:$J$10,MATCH(AT11,Ciselniky!$F$3:$F$10,0)),"MANUAL"))</f>
        <v>OK</v>
      </c>
      <c r="AX11" s="14">
        <f t="shared" ca="1" si="15"/>
        <v>30</v>
      </c>
      <c r="AY11" s="27">
        <f>IF(OR(A11="",E11=""),"",AV11*Parametry!$B$41)</f>
        <v>48</v>
      </c>
      <c r="AZ11" s="27">
        <f ca="1">IF(OR(A11="",E11=""),"",AX11*Parametry!$B$42)</f>
        <v>7.5</v>
      </c>
      <c r="BA11" s="27">
        <f>IF(OR(A11="",E11=""),"",AK11*Parametry!$B$43)</f>
        <v>14.1</v>
      </c>
      <c r="BB11" s="14">
        <f>IF(OR(A11="",E11=""),"",IF(AW11="STOP",-100,IF(AT11="BB",Parametry!$B$47,IF(AT11="NR",Parametry!$B$48,0))))</f>
        <v>0</v>
      </c>
    </row>
    <row r="12" spans="1:54" ht="21.75" customHeight="1" x14ac:dyDescent="0.2">
      <c r="A12" s="23" t="s">
        <v>60</v>
      </c>
      <c r="B12" s="23" t="s">
        <v>61</v>
      </c>
      <c r="C12" s="23" t="s">
        <v>51</v>
      </c>
      <c r="D12" s="23" t="s">
        <v>252</v>
      </c>
      <c r="E12" s="23">
        <v>200000</v>
      </c>
      <c r="F12" s="24">
        <v>46183</v>
      </c>
      <c r="G12" s="23" t="s">
        <v>81</v>
      </c>
      <c r="H12" s="23" t="s">
        <v>81</v>
      </c>
      <c r="I12">
        <f>IF(A12="","",IF(AND(Parametry!$B$39="ANO",B12&lt;&gt;""),COUNTIFS(Historie!$A$2:$A$2000,A12,Historie!$B$2:$B$2000,B12,Historie!$E$2:$E$2000,"&lt;&gt;"),COUNTIFS(Historie!$A$2:$A$2000,A12,Historie!$E$2:$E$2000,"&lt;&gt;")))</f>
        <v>7</v>
      </c>
      <c r="J12" s="14">
        <f>IF(I12=0,"",IFERROR(IF(AND(Parametry!$B$39="ANO",B12&lt;&gt;""),AVERAGEIFS(Historie!$F$2:$F$2000,Historie!$A$2:$A$2000,A12,Historie!$B$2:$B$2000,B12,Historie!$E$2:$E$2000,"&lt;&gt;"),AVERAGEIFS(Historie!$F$2:$F$2000,Historie!$A$2:$A$2000,A12,Historie!$E$2:$E$2000,"&lt;&gt;")),""))</f>
        <v>-0.14285714285714285</v>
      </c>
      <c r="K12" s="25">
        <f>IF(I12=0,"",IFERROR(IF(AND(Parametry!$B$39="ANO",B12&lt;&gt;""),COUNTIFS(Historie!$A$2:$A$2000,A12,Historie!$B$2:$B$2000,B12,Historie!$E$2:$E$2000,"&lt;&gt;",Historie!$F$2:$F$2000,"&gt;0")/I12,COUNTIFS(Historie!$A$2:$A$2000,A12,Historie!$E$2:$E$2000,"&lt;&gt;",Historie!$F$2:$F$2000,"&gt;0")/I12),0))</f>
        <v>0.14285714285714285</v>
      </c>
      <c r="L12">
        <f ca="1">IF(OR(A12="",I12=0),"",IFERROR(DATEDIF(IF(AND(Parametry!$B$39="ANO",B12&lt;&gt;""),_xludf.minifs(Historie!$E$2:$E$2000,Historie!$A$2:$A$2000,A12,Historie!$B$2:$B$2000,B12,Historie!$E$2:$E$2000,"&lt;&gt;"),_xludf.minifs(Historie!$E$2:$E$2000,Historie!$A$2:$A$2000,A12,Historie!$E$2:$E$2000,"&lt;&gt;")),IF(AND(Parametry!$B$39="ANO",B12&lt;&gt;""),_xludf.maxifs(Historie!$E$2:$E$2000,Historie!$A$2:$A$2000,A12,Historie!$B$2:$B$2000,B12,Historie!$E$2:$E$2000,"&lt;&gt;"),_xludf.maxifs(Historie!$E$2:$E$2000,Historie!$A$2:$A$2000,A12,Historie!$E$2:$E$2000,"&lt;&gt;")),"M"),0))</f>
        <v>0</v>
      </c>
      <c r="M12" s="1">
        <f>IF(A12="","",IFERROR(IF(AND(Parametry!$B$39="ANO",B12&lt;&gt;""),AVERAGEIFS(Historie!$C$2:$C$2000,Historie!$A$2:$A$2000,A12,Historie!$B$2:$B$2000,B12,Historie!$E$2:$E$2000,"&lt;&gt;"),AVERAGEIFS(Historie!$C$2:$C$2000,Historie!$A$2:$A$2000,A12,Historie!$E$2:$E$2000,"&lt;&gt;")),""))</f>
        <v>1847142.857142857</v>
      </c>
      <c r="N12">
        <f t="shared" ca="1" si="0"/>
        <v>63</v>
      </c>
      <c r="O12" t="str">
        <f t="shared" si="1"/>
        <v/>
      </c>
      <c r="P12" t="str">
        <f t="shared" si="2"/>
        <v>NE</v>
      </c>
      <c r="Q12" s="26">
        <f t="shared" si="3"/>
        <v>0.10827532869296211</v>
      </c>
      <c r="R12">
        <f>IF(OR(A12="",E12=""),"",IF(I12&gt;=Parametry!$B$4,Parametry!$B$9,0))</f>
        <v>40</v>
      </c>
      <c r="S12">
        <f>IF(OR(A12="",E12=""),"",IF(I12&gt;0,IF(J12&lt;=Parametry!$B$5,Parametry!$B$10,0),0))</f>
        <v>20</v>
      </c>
      <c r="T12">
        <f>IF(OR(A12="",E12=""),"",IF(I12&gt;0,IF(K12&lt;=Parametry!$B$6,Parametry!$B$11,0),0))</f>
        <v>15</v>
      </c>
      <c r="U12">
        <f ca="1">IF(OR(A12="",E12=""),"",IF(L12&gt;=Parametry!$B$7,Parametry!$B$12,0))</f>
        <v>0</v>
      </c>
      <c r="V12">
        <f>IF(OR(A12="",E12=""),"",IF(M12&gt;0,IF(Q12&lt;=Parametry!$B$8,Parametry!$B$13,0),0))</f>
        <v>10</v>
      </c>
      <c r="W12">
        <f>IF(OR(A12="",E12=""),"",IF(P12="ANO",Parametry!$B$14,0))</f>
        <v>0</v>
      </c>
      <c r="X12">
        <f>IF(OR(A12="",E12=""),"",IF(G12="ANO",Parametry!$B$15,0))</f>
        <v>0</v>
      </c>
      <c r="Y12">
        <f>IF(OR(A12="",E12=""),"",IF(H12="ANO",Parametry!$B$16,0))</f>
        <v>0</v>
      </c>
      <c r="Z12">
        <f t="shared" ca="1" si="4"/>
        <v>89</v>
      </c>
      <c r="AA12" t="str">
        <f ca="1">IF(Z12="","",IF(AW12="STOP","Stop",IF(AW12="MANUAL",IF(Z12&gt;=Parametry!$B$19,"Watchlist","Stop"),IF(Z12&gt;=Parametry!$B$17,"Nízké riziko",IF(Z12&gt;=Parametry!$B$18,"Střední riziko",IF(Z12&gt;=Parametry!$B$19,"Watchlist","Stop"))))))</f>
        <v>Nízké riziko</v>
      </c>
      <c r="AB12" s="17">
        <f ca="1">IF(AA12="","",MIN(IF(AA12="Nízké riziko",Parametry!$B$20,IF(AA12="Střední riziko",Parametry!$B$21,IF(AA12="Watchlist",Parametry!$B$22,Parametry!$B$23))),IFERROR(INDEX(Ciselniky!$H$3:$H$10,MATCH(AT12,Ciselniky!$F$3:$F$10,0)),0)))</f>
        <v>0.8</v>
      </c>
      <c r="AC12" s="17">
        <f ca="1">IF(AA12="","",IF(AA12="Stop",0,IF(AA12="Nízké riziko",Parametry!$B$24,IF(AA12="Střední riziko",Parametry!$B$25,IF(AA12="Watchlist",Parametry!$B$26,0)))+IFERROR(INDEX(Ciselniky!$I$3:$I$10,MATCH(AT12,Ciselniky!$F$3:$F$10,0)),0)))</f>
        <v>2.5000000000000001E-2</v>
      </c>
      <c r="AD12" t="str">
        <f t="shared" ca="1" si="5"/>
        <v>Financovat</v>
      </c>
      <c r="AE12">
        <f t="shared" si="6"/>
        <v>200000</v>
      </c>
      <c r="AF12">
        <f t="shared" si="7"/>
        <v>3000000</v>
      </c>
      <c r="AG12">
        <f>Parametry!$B$28</f>
        <v>5800000</v>
      </c>
      <c r="AH12" s="17">
        <f t="shared" si="8"/>
        <v>6.6666666666666666E-2</v>
      </c>
      <c r="AI12" s="17">
        <f>IFERROR(AF12/Parametry!$B$28,"")</f>
        <v>0.51724137931034486</v>
      </c>
      <c r="AJ12" s="17">
        <f>IFERROR(AE12/Parametry!$B$28,"")</f>
        <v>3.4482758620689655E-2</v>
      </c>
      <c r="AK12">
        <f>IF(OR(A12="",E12=""),"",MAX(0,100-IF(Parametry!$B$27="early",0.5,IF(Parametry!$B$27="growth",0.75,1))*(IF(AI12&lt;=Parametry!$B$34,0,IF(AI12&lt;=Parametry!$B$34+0.05,8,20))+IF(AH12&lt;=Parametry!$B$35,0,12)+IF(AJ12&lt;=Parametry!$B$36,0,12))))</f>
        <v>90</v>
      </c>
      <c r="AL12" t="str">
        <f>IF(OR(A12="",E12=""),"",IF(Parametry!$B$27="early",IF(OR(AI12&gt;Parametry!$B$34*1.2,AH12&gt;Parametry!$B$35*1.3),"EARLY STAGE EXCEPTION","OK"),IF(Parametry!$B$27="growth",IF(OR(AI12&gt;Parametry!$B$34*1.35,AH12&gt;Parametry!$B$35*1.4),"RED FLAG","OK"),IF(OR(AI12&gt;Parametry!$B$34*1.2,AH12&gt;Parametry!$B$35*1.3),"RED FLAG","OK"))))</f>
        <v>EARLY STAGE EXCEPTION</v>
      </c>
      <c r="AM12" t="str">
        <f>IF(OR(A12="",E12=""),"",IF(COUNTIF($A$6:A12,A12)=1,AF12,""))</f>
        <v/>
      </c>
      <c r="AN12">
        <f t="shared" si="9"/>
        <v>2600000</v>
      </c>
      <c r="AO12">
        <f t="shared" si="10"/>
        <v>2500000</v>
      </c>
      <c r="AP12" t="str">
        <f t="shared" si="11"/>
        <v/>
      </c>
      <c r="AQ12" s="14">
        <f t="shared" ca="1" si="12"/>
        <v>2</v>
      </c>
      <c r="AR12" t="str">
        <f t="shared" ca="1" si="13"/>
        <v>Schválit s výhradou (koncentrace / early stage)</v>
      </c>
      <c r="AS12" t="str">
        <f t="shared" ca="1" si="14"/>
        <v>89 b | Nízké riziko | Financovat | gate OK | rating AA</v>
      </c>
      <c r="AT12" s="23" t="str">
        <f>IF(A12="","",IF(COUNTIF(Ciselniky!$L$3:$L$200,A12)=0,"NR",IF(INDEX(Ciselniky!$M$3:$M$200,MATCH(A12,Ciselniky!$L$3:$L$200,0))="","NR",INDEX(Ciselniky!$M$3:$M$200,MATCH(A12,Ciselniky!$L$3:$L$200,0)))))</f>
        <v>AA</v>
      </c>
      <c r="AU12" t="str">
        <f>IF(A12="","",IF(AT12="NR","doplňit rating v Ciselniky",IFERROR(IF(INDEX(Ciselniky!$N$3:$N$200,MATCH(A12,Ciselniky!$L$3:$L$200,0))="","anchor master",INDEX(Ciselniky!$N$3:$N$200,MATCH(A12,Ciselniky!$L$3:$L$200,0))),"anchor master")))</f>
        <v>doplňte interní / externí rating</v>
      </c>
      <c r="AV12" s="14">
        <f>IF(AT12="","",IFERROR(INDEX(Ciselniky!$G$3:$G$10,MATCH(AT12,Ciselniky!$F$3:$F$10,0)),0))</f>
        <v>90</v>
      </c>
      <c r="AW12" t="str">
        <f>IF(AT12="","",IFERROR(INDEX(Ciselniky!$J$3:$J$10,MATCH(AT12,Ciselniky!$F$3:$F$10,0)),"MANUAL"))</f>
        <v>OK</v>
      </c>
      <c r="AX12" s="14">
        <f t="shared" ca="1" si="15"/>
        <v>85</v>
      </c>
      <c r="AY12" s="27">
        <f>IF(OR(A12="",E12=""),"",AV12*Parametry!$B$41)</f>
        <v>54</v>
      </c>
      <c r="AZ12" s="27">
        <f ca="1">IF(OR(A12="",E12=""),"",AX12*Parametry!$B$42)</f>
        <v>21.25</v>
      </c>
      <c r="BA12" s="27">
        <f>IF(OR(A12="",E12=""),"",AK12*Parametry!$B$43)</f>
        <v>13.5</v>
      </c>
      <c r="BB12" s="14">
        <f>IF(OR(A12="",E12=""),"",IF(AW12="STOP",-100,IF(AT12="BB",Parametry!$B$47,IF(AT12="NR",Parametry!$B$48,0))))</f>
        <v>0</v>
      </c>
    </row>
    <row r="13" spans="1:54" ht="21.75" customHeight="1" x14ac:dyDescent="0.2">
      <c r="A13" s="23" t="s">
        <v>63</v>
      </c>
      <c r="B13" s="23" t="s">
        <v>64</v>
      </c>
      <c r="C13" s="23" t="s">
        <v>42</v>
      </c>
      <c r="D13" s="23" t="s">
        <v>253</v>
      </c>
      <c r="E13" s="23">
        <v>850000</v>
      </c>
      <c r="F13" s="24">
        <v>46184</v>
      </c>
      <c r="G13" s="23" t="s">
        <v>81</v>
      </c>
      <c r="H13" s="23" t="s">
        <v>81</v>
      </c>
      <c r="I13">
        <f>IF(A13="","",IF(AND(Parametry!$B$39="ANO",B13&lt;&gt;""),COUNTIFS(Historie!$A$2:$A$2000,A13,Historie!$B$2:$B$2000,B13,Historie!$E$2:$E$2000,"&lt;&gt;"),COUNTIFS(Historie!$A$2:$A$2000,A13,Historie!$E$2:$E$2000,"&lt;&gt;")))</f>
        <v>1</v>
      </c>
      <c r="J13" s="14">
        <f>IF(I13=0,"",IFERROR(IF(AND(Parametry!$B$39="ANO",B13&lt;&gt;""),AVERAGEIFS(Historie!$F$2:$F$2000,Historie!$A$2:$A$2000,A13,Historie!$B$2:$B$2000,B13,Historie!$E$2:$E$2000,"&lt;&gt;"),AVERAGEIFS(Historie!$F$2:$F$2000,Historie!$A$2:$A$2000,A13,Historie!$E$2:$E$2000,"&lt;&gt;")),""))</f>
        <v>5</v>
      </c>
      <c r="K13" s="25">
        <f>IF(I13=0,"",IFERROR(IF(AND(Parametry!$B$39="ANO",B13&lt;&gt;""),COUNTIFS(Historie!$A$2:$A$2000,A13,Historie!$B$2:$B$2000,B13,Historie!$E$2:$E$2000,"&lt;&gt;",Historie!$F$2:$F$2000,"&gt;0")/I13,COUNTIFS(Historie!$A$2:$A$2000,A13,Historie!$E$2:$E$2000,"&lt;&gt;",Historie!$F$2:$F$2000,"&gt;0")/I13),0))</f>
        <v>1</v>
      </c>
      <c r="L13">
        <f ca="1">IF(OR(A13="",I13=0),"",IFERROR(DATEDIF(IF(AND(Parametry!$B$39="ANO",B13&lt;&gt;""),_xludf.minifs(Historie!$E$2:$E$2000,Historie!$A$2:$A$2000,A13,Historie!$B$2:$B$2000,B13,Historie!$E$2:$E$2000,"&lt;&gt;"),_xludf.minifs(Historie!$E$2:$E$2000,Historie!$A$2:$A$2000,A13,Historie!$E$2:$E$2000,"&lt;&gt;")),IF(AND(Parametry!$B$39="ANO",B13&lt;&gt;""),_xludf.maxifs(Historie!$E$2:$E$2000,Historie!$A$2:$A$2000,A13,Historie!$B$2:$B$2000,B13,Historie!$E$2:$E$2000,"&lt;&gt;"),_xludf.maxifs(Historie!$E$2:$E$2000,Historie!$A$2:$A$2000,A13,Historie!$E$2:$E$2000,"&lt;&gt;")),"M"),0))</f>
        <v>0</v>
      </c>
      <c r="M13" s="1">
        <f>IF(A13="","",IFERROR(IF(AND(Parametry!$B$39="ANO",B13&lt;&gt;""),AVERAGEIFS(Historie!$C$2:$C$2000,Historie!$A$2:$A$2000,A13,Historie!$B$2:$B$2000,B13,Historie!$E$2:$E$2000,"&lt;&gt;"),AVERAGEIFS(Historie!$C$2:$C$2000,Historie!$A$2:$A$2000,A13,Historie!$E$2:$E$2000,"&lt;&gt;")),""))</f>
        <v>975000</v>
      </c>
      <c r="N13">
        <f t="shared" ca="1" si="0"/>
        <v>64</v>
      </c>
      <c r="O13">
        <f t="shared" ca="1" si="1"/>
        <v>64</v>
      </c>
      <c r="P13" t="str">
        <f t="shared" si="2"/>
        <v>NE</v>
      </c>
      <c r="Q13" s="26">
        <f t="shared" si="3"/>
        <v>0.87179487179487181</v>
      </c>
      <c r="R13">
        <f>IF(OR(A13="",E13=""),"",IF(I13&gt;=Parametry!$B$4,Parametry!$B$9,0))</f>
        <v>0</v>
      </c>
      <c r="S13">
        <f>IF(OR(A13="",E13=""),"",IF(I13&gt;0,IF(J13&lt;=Parametry!$B$5,Parametry!$B$10,0),0))</f>
        <v>20</v>
      </c>
      <c r="T13">
        <f>IF(OR(A13="",E13=""),"",IF(I13&gt;0,IF(K13&lt;=Parametry!$B$6,Parametry!$B$11,0),0))</f>
        <v>0</v>
      </c>
      <c r="U13">
        <f ca="1">IF(OR(A13="",E13=""),"",IF(L13&gt;=Parametry!$B$7,Parametry!$B$12,0))</f>
        <v>0</v>
      </c>
      <c r="V13">
        <f>IF(OR(A13="",E13=""),"",IF(M13&gt;0,IF(Q13&lt;=Parametry!$B$8,Parametry!$B$13,0),0))</f>
        <v>10</v>
      </c>
      <c r="W13">
        <f>IF(OR(A13="",E13=""),"",IF(P13="ANO",Parametry!$B$14,0))</f>
        <v>0</v>
      </c>
      <c r="X13">
        <f>IF(OR(A13="",E13=""),"",IF(G13="ANO",Parametry!$B$15,0))</f>
        <v>0</v>
      </c>
      <c r="Y13">
        <f>IF(OR(A13="",E13=""),"",IF(H13="ANO",Parametry!$B$16,0))</f>
        <v>0</v>
      </c>
      <c r="Z13">
        <f t="shared" ca="1" si="4"/>
        <v>70</v>
      </c>
      <c r="AA13" t="str">
        <f ca="1">IF(Z13="","",IF(AW13="STOP","Stop",IF(AW13="MANUAL",IF(Z13&gt;=Parametry!$B$19,"Watchlist","Stop"),IF(Z13&gt;=Parametry!$B$17,"Nízké riziko",IF(Z13&gt;=Parametry!$B$18,"Střední riziko",IF(Z13&gt;=Parametry!$B$19,"Watchlist","Stop"))))))</f>
        <v>Střední riziko</v>
      </c>
      <c r="AB13" s="17">
        <f ca="1">IF(AA13="","",MIN(IF(AA13="Nízké riziko",Parametry!$B$20,IF(AA13="Střední riziko",Parametry!$B$21,IF(AA13="Watchlist",Parametry!$B$22,Parametry!$B$23))),IFERROR(INDEX(Ciselniky!$H$3:$H$10,MATCH(AT13,Ciselniky!$F$3:$F$10,0)),0)))</f>
        <v>0.75</v>
      </c>
      <c r="AC13" s="17">
        <f ca="1">IF(AA13="","",IF(AA13="Stop",0,IF(AA13="Nízké riziko",Parametry!$B$24,IF(AA13="Střední riziko",Parametry!$B$25,IF(AA13="Watchlist",Parametry!$B$26,0)))+IFERROR(INDEX(Ciselniky!$I$3:$I$10,MATCH(AT13,Ciselniky!$F$3:$F$10,0)),0)))</f>
        <v>4.4999999999999998E-2</v>
      </c>
      <c r="AD13" t="str">
        <f t="shared" ca="1" si="5"/>
        <v>Financovat s limitem</v>
      </c>
      <c r="AE13">
        <f t="shared" si="6"/>
        <v>850000</v>
      </c>
      <c r="AF13">
        <f t="shared" si="7"/>
        <v>1700000</v>
      </c>
      <c r="AG13">
        <f>Parametry!$B$28</f>
        <v>5800000</v>
      </c>
      <c r="AH13" s="17">
        <f t="shared" si="8"/>
        <v>0.5</v>
      </c>
      <c r="AI13" s="17">
        <f>IFERROR(AF13/Parametry!$B$28,"")</f>
        <v>0.29310344827586204</v>
      </c>
      <c r="AJ13" s="17">
        <f>IFERROR(AE13/Parametry!$B$28,"")</f>
        <v>0.14655172413793102</v>
      </c>
      <c r="AK13">
        <f>IF(OR(A13="",E13=""),"",MAX(0,100-IF(Parametry!$B$27="early",0.5,IF(Parametry!$B$27="growth",0.75,1))*(IF(AI13&lt;=Parametry!$B$34,0,IF(AI13&lt;=Parametry!$B$34+0.05,8,20))+IF(AH13&lt;=Parametry!$B$35,0,12)+IF(AJ13&lt;=Parametry!$B$36,0,12))))</f>
        <v>94</v>
      </c>
      <c r="AL13" t="str">
        <f>IF(OR(A13="",E13=""),"",IF(Parametry!$B$27="early",IF(OR(AI13&gt;Parametry!$B$34*1.2,AH13&gt;Parametry!$B$35*1.3),"EARLY STAGE EXCEPTION","OK"),IF(Parametry!$B$27="growth",IF(OR(AI13&gt;Parametry!$B$34*1.35,AH13&gt;Parametry!$B$35*1.4),"RED FLAG","OK"),IF(OR(AI13&gt;Parametry!$B$34*1.2,AH13&gt;Parametry!$B$35*1.3),"RED FLAG","OK"))))</f>
        <v>EARLY STAGE EXCEPTION</v>
      </c>
      <c r="AM13" t="str">
        <f>IF(OR(A13="",E13=""),"",IF(COUNTIF($A$6:A13,A13)=1,AF13,""))</f>
        <v/>
      </c>
      <c r="AN13">
        <f t="shared" si="9"/>
        <v>1700000</v>
      </c>
      <c r="AO13">
        <f t="shared" si="10"/>
        <v>1700000</v>
      </c>
      <c r="AP13">
        <f t="shared" ca="1" si="11"/>
        <v>64</v>
      </c>
      <c r="AQ13" s="14">
        <f t="shared" ca="1" si="12"/>
        <v>2</v>
      </c>
      <c r="AR13" t="str">
        <f t="shared" ca="1" si="13"/>
        <v>Schválit s výhradou (koncentrace / early stage)</v>
      </c>
      <c r="AS13" t="str">
        <f t="shared" ca="1" si="14"/>
        <v>70 b | Střední riziko | Financovat s limitem | gate OK | rating A</v>
      </c>
      <c r="AT13" s="23" t="str">
        <f>IF(A13="","",IF(COUNTIF(Ciselniky!$L$3:$L$200,A13)=0,"NR",IF(INDEX(Ciselniky!$M$3:$M$200,MATCH(A13,Ciselniky!$L$3:$L$200,0))="","NR",INDEX(Ciselniky!$M$3:$M$200,MATCH(A13,Ciselniky!$L$3:$L$200,0)))))</f>
        <v>A</v>
      </c>
      <c r="AU13" t="str">
        <f>IF(A13="","",IF(AT13="NR","doplňit rating v Ciselniky",IFERROR(IF(INDEX(Ciselniky!$N$3:$N$200,MATCH(A13,Ciselniky!$L$3:$L$200,0))="","anchor master",INDEX(Ciselniky!$N$3:$N$200,MATCH(A13,Ciselniky!$L$3:$L$200,0))),"anchor master")))</f>
        <v>doplňte interní / externí rating</v>
      </c>
      <c r="AV13" s="14">
        <f>IF(AT13="","",IFERROR(INDEX(Ciselniky!$G$3:$G$10,MATCH(AT13,Ciselniky!$F$3:$F$10,0)),0))</f>
        <v>80</v>
      </c>
      <c r="AW13" t="str">
        <f>IF(AT13="","",IFERROR(INDEX(Ciselniky!$J$3:$J$10,MATCH(AT13,Ciselniky!$F$3:$F$10,0)),"MANUAL"))</f>
        <v>OK</v>
      </c>
      <c r="AX13" s="14">
        <f t="shared" ca="1" si="15"/>
        <v>30</v>
      </c>
      <c r="AY13" s="27">
        <f>IF(OR(A13="",E13=""),"",AV13*Parametry!$B$41)</f>
        <v>48</v>
      </c>
      <c r="AZ13" s="27">
        <f ca="1">IF(OR(A13="",E13=""),"",AX13*Parametry!$B$42)</f>
        <v>7.5</v>
      </c>
      <c r="BA13" s="27">
        <f>IF(OR(A13="",E13=""),"",AK13*Parametry!$B$43)</f>
        <v>14.1</v>
      </c>
      <c r="BB13" s="14">
        <f>IF(OR(A13="",E13=""),"",IF(AW13="STOP",-100,IF(AT13="BB",Parametry!$B$47,IF(AT13="NR",Parametry!$B$48,0))))</f>
        <v>0</v>
      </c>
    </row>
    <row r="14" spans="1:54" ht="21.75" customHeight="1" x14ac:dyDescent="0.2">
      <c r="A14" s="23"/>
      <c r="B14" s="23"/>
      <c r="C14" s="23"/>
      <c r="D14" s="23"/>
      <c r="E14" s="23"/>
      <c r="F14" s="23"/>
      <c r="G14" s="23"/>
      <c r="H14" s="23"/>
      <c r="I14" t="str">
        <f>IF(A14="","",IF(AND(Parametry!$B$39="ANO",B14&lt;&gt;""),COUNTIFS(Historie!$A$2:$A$2000,A14,Historie!$B$2:$B$2000,B14,Historie!$E$2:$E$2000,"&lt;&gt;"),COUNTIFS(Historie!$A$2:$A$2000,A14,Historie!$E$2:$E$2000,"&lt;&gt;")))</f>
        <v/>
      </c>
      <c r="J14" s="14" t="str">
        <f>IF(I14=0,"",IFERROR(IF(AND(Parametry!$B$39="ANO",B14&lt;&gt;""),AVERAGEIFS(Historie!$F$2:$F$2000,Historie!$A$2:$A$2000,A14,Historie!$B$2:$B$2000,B14,Historie!$E$2:$E$2000,"&lt;&gt;"),AVERAGEIFS(Historie!$F$2:$F$2000,Historie!$A$2:$A$2000,A14,Historie!$E$2:$E$2000,"&lt;&gt;")),""))</f>
        <v/>
      </c>
      <c r="K14" s="25">
        <f>IF(I14=0,"",IFERROR(IF(AND(Parametry!$B$39="ANO",B14&lt;&gt;""),COUNTIFS(Historie!$A$2:$A$2000,A14,Historie!$B$2:$B$2000,B14,Historie!$E$2:$E$2000,"&lt;&gt;",Historie!$F$2:$F$2000,"&gt;0")/I14,COUNTIFS(Historie!$A$2:$A$2000,A14,Historie!$E$2:$E$2000,"&lt;&gt;",Historie!$F$2:$F$2000,"&gt;0")/I14),0))</f>
        <v>0</v>
      </c>
      <c r="L14" t="str">
        <f>IF(OR(A14="",I14=0),"",IFERROR(DATEDIF(IF(AND(Parametry!$B$39="ANO",B14&lt;&gt;""),_xludf.minifs(Historie!$E$2:$E$2000,Historie!$A$2:$A$2000,A14,Historie!$B$2:$B$2000,B14,Historie!$E$2:$E$2000,"&lt;&gt;"),_xludf.minifs(Historie!$E$2:$E$2000,Historie!$A$2:$A$2000,A14,Historie!$E$2:$E$2000,"&lt;&gt;")),IF(AND(Parametry!$B$39="ANO",B14&lt;&gt;""),_xludf.maxifs(Historie!$E$2:$E$2000,Historie!$A$2:$A$2000,A14,Historie!$B$2:$B$2000,B14,Historie!$E$2:$E$2000,"&lt;&gt;"),_xludf.maxifs(Historie!$E$2:$E$2000,Historie!$A$2:$A$2000,A14,Historie!$E$2:$E$2000,"&lt;&gt;")),"M"),0))</f>
        <v/>
      </c>
      <c r="M14" s="1" t="str">
        <f>IF(A14="","",IFERROR(IF(AND(Parametry!$B$39="ANO",B14&lt;&gt;""),AVERAGEIFS(Historie!$C$2:$C$2000,Historie!$A$2:$A$2000,A14,Historie!$B$2:$B$2000,B14,Historie!$E$2:$E$2000,"&lt;&gt;"),AVERAGEIFS(Historie!$C$2:$C$2000,Historie!$A$2:$A$2000,A14,Historie!$E$2:$E$2000,"&lt;&gt;")),""))</f>
        <v/>
      </c>
      <c r="N14" t="str">
        <f t="shared" ca="1" si="0"/>
        <v/>
      </c>
      <c r="O14" t="str">
        <f t="shared" si="1"/>
        <v/>
      </c>
      <c r="P14" t="str">
        <f t="shared" si="2"/>
        <v/>
      </c>
      <c r="Q14" s="26" t="str">
        <f t="shared" si="3"/>
        <v/>
      </c>
      <c r="R14" t="str">
        <f>IF(OR(A14="",E14=""),"",IF(I14&gt;=Parametry!$B$4,Parametry!$B$9,0))</f>
        <v/>
      </c>
      <c r="S14" t="str">
        <f>IF(OR(A14="",E14=""),"",IF(I14&gt;0,IF(J14&lt;=Parametry!$B$5,Parametry!$B$10,0),0))</f>
        <v/>
      </c>
      <c r="T14" t="str">
        <f>IF(OR(A14="",E14=""),"",IF(I14&gt;0,IF(K14&lt;=Parametry!$B$6,Parametry!$B$11,0),0))</f>
        <v/>
      </c>
      <c r="U14" t="str">
        <f>IF(OR(A14="",E14=""),"",IF(L14&gt;=Parametry!$B$7,Parametry!$B$12,0))</f>
        <v/>
      </c>
      <c r="V14" t="str">
        <f>IF(OR(A14="",E14=""),"",IF(M14&gt;0,IF(Q14&lt;=Parametry!$B$8,Parametry!$B$13,0),0))</f>
        <v/>
      </c>
      <c r="W14" t="str">
        <f>IF(OR(A14="",E14=""),"",IF(P14="ANO",Parametry!$B$14,0))</f>
        <v/>
      </c>
      <c r="X14" t="str">
        <f>IF(OR(A14="",E14=""),"",IF(G14="ANO",Parametry!$B$15,0))</f>
        <v/>
      </c>
      <c r="Y14" t="str">
        <f>IF(OR(A14="",E14=""),"",IF(H14="ANO",Parametry!$B$16,0))</f>
        <v/>
      </c>
      <c r="Z14" t="str">
        <f t="shared" si="4"/>
        <v/>
      </c>
      <c r="AA14" t="str">
        <f>IF(Z14="","",IF(AW14="STOP","Stop",IF(AW14="MANUAL",IF(Z14&gt;=Parametry!$B$19,"Watchlist","Stop"),IF(Z14&gt;=Parametry!$B$17,"Nízké riziko",IF(Z14&gt;=Parametry!$B$18,"Střední riziko",IF(Z14&gt;=Parametry!$B$19,"Watchlist","Stop"))))))</f>
        <v/>
      </c>
      <c r="AB14" s="17" t="str">
        <f>IF(AA14="","",MIN(IF(AA14="Nízké riziko",Parametry!$B$20,IF(AA14="Střední riziko",Parametry!$B$21,IF(AA14="Watchlist",Parametry!$B$22,Parametry!$B$23))),IFERROR(INDEX(Ciselniky!$H$3:$H$10,MATCH(AT14,Ciselniky!$F$3:$F$10,0)),0)))</f>
        <v/>
      </c>
      <c r="AC14" s="17" t="str">
        <f>IF(AA14="","",IF(AA14="Stop",0,IF(AA14="Nízké riziko",Parametry!$B$24,IF(AA14="Střední riziko",Parametry!$B$25,IF(AA14="Watchlist",Parametry!$B$26,0)))+IFERROR(INDEX(Ciselniky!$I$3:$I$10,MATCH(AT14,Ciselniky!$F$3:$F$10,0)),0)))</f>
        <v/>
      </c>
      <c r="AD14" t="str">
        <f t="shared" si="5"/>
        <v/>
      </c>
      <c r="AE14">
        <f t="shared" si="6"/>
        <v>0</v>
      </c>
      <c r="AF14">
        <f t="shared" si="7"/>
        <v>0</v>
      </c>
      <c r="AG14">
        <f>Parametry!$B$28</f>
        <v>5800000</v>
      </c>
      <c r="AH14" s="17" t="str">
        <f t="shared" si="8"/>
        <v/>
      </c>
      <c r="AI14" s="17">
        <f>IFERROR(AF14/Parametry!$B$28,"")</f>
        <v>0</v>
      </c>
      <c r="AJ14" s="17">
        <f>IFERROR(AE14/Parametry!$B$28,"")</f>
        <v>0</v>
      </c>
      <c r="AK14" t="str">
        <f>IF(OR(A14="",E14=""),"",MAX(0,100-IF(Parametry!$B$27="early",0.5,IF(Parametry!$B$27="growth",0.75,1))*(IF(AI14&lt;=Parametry!$B$34,0,IF(AI14&lt;=Parametry!$B$34+0.05,8,20))+IF(AH14&lt;=Parametry!$B$35,0,12)+IF(AJ14&lt;=Parametry!$B$36,0,12))))</f>
        <v/>
      </c>
      <c r="AL14" t="str">
        <f>IF(OR(A14="",E14=""),"",IF(Parametry!$B$27="early",IF(OR(AI14&gt;Parametry!$B$34*1.2,AH14&gt;Parametry!$B$35*1.3),"EARLY STAGE EXCEPTION","OK"),IF(Parametry!$B$27="growth",IF(OR(AI14&gt;Parametry!$B$34*1.35,AH14&gt;Parametry!$B$35*1.4),"RED FLAG","OK"),IF(OR(AI14&gt;Parametry!$B$34*1.2,AH14&gt;Parametry!$B$35*1.3),"RED FLAG","OK"))))</f>
        <v/>
      </c>
      <c r="AM14" t="str">
        <f>IF(OR(A14="",E14=""),"",IF(COUNTIF($A$6:A14,A14)=1,AF14,""))</f>
        <v/>
      </c>
      <c r="AN14" t="str">
        <f t="shared" si="9"/>
        <v/>
      </c>
      <c r="AO14" t="str">
        <f t="shared" si="10"/>
        <v/>
      </c>
      <c r="AP14" t="str">
        <f t="shared" si="11"/>
        <v/>
      </c>
      <c r="AQ14" s="14" t="str">
        <f t="shared" si="12"/>
        <v/>
      </c>
      <c r="AR14" t="str">
        <f t="shared" si="13"/>
        <v/>
      </c>
      <c r="AS14" t="str">
        <f t="shared" si="14"/>
        <v/>
      </c>
      <c r="AT14" s="23" t="str">
        <f>IF(A14="","",IF(COUNTIF(Ciselniky!$L$3:$L$200,A14)=0,"NR",IF(INDEX(Ciselniky!$M$3:$M$200,MATCH(A14,Ciselniky!$L$3:$L$200,0))="","NR",INDEX(Ciselniky!$M$3:$M$200,MATCH(A14,Ciselniky!$L$3:$L$200,0)))))</f>
        <v/>
      </c>
      <c r="AU14" t="str">
        <f>IF(A14="","",IF(AT14="NR","doplňit rating v Ciselniky",IFERROR(IF(INDEX(Ciselniky!$N$3:$N$200,MATCH(A14,Ciselniky!$L$3:$L$200,0))="","anchor master",INDEX(Ciselniky!$N$3:$N$200,MATCH(A14,Ciselniky!$L$3:$L$200,0))),"anchor master")))</f>
        <v/>
      </c>
      <c r="AV14" s="14" t="str">
        <f>IF(AT14="","",IFERROR(INDEX(Ciselniky!$G$3:$G$10,MATCH(AT14,Ciselniky!$F$3:$F$10,0)),0))</f>
        <v/>
      </c>
      <c r="AW14" t="str">
        <f>IF(AT14="","",IFERROR(INDEX(Ciselniky!$J$3:$J$10,MATCH(AT14,Ciselniky!$F$3:$F$10,0)),"MANUAL"))</f>
        <v/>
      </c>
      <c r="AX14" s="14" t="str">
        <f t="shared" si="15"/>
        <v/>
      </c>
      <c r="AY14" s="27" t="str">
        <f>IF(OR(A14="",E14=""),"",AV14*Parametry!$B$41)</f>
        <v/>
      </c>
      <c r="AZ14" s="27" t="str">
        <f>IF(OR(A14="",E14=""),"",AX14*Parametry!$B$42)</f>
        <v/>
      </c>
      <c r="BA14" s="27" t="str">
        <f>IF(OR(A14="",E14=""),"",AK14*Parametry!$B$43)</f>
        <v/>
      </c>
      <c r="BB14" s="14" t="str">
        <f>IF(OR(A14="",E14=""),"",IF(AW14="STOP",-100,IF(AT14="BB",Parametry!$B$47,IF(AT14="NR",Parametry!$B$48,0))))</f>
        <v/>
      </c>
    </row>
    <row r="15" spans="1:54" ht="21.75" customHeight="1" x14ac:dyDescent="0.2">
      <c r="A15" s="23"/>
      <c r="B15" s="23"/>
      <c r="C15" s="23"/>
      <c r="D15" s="23"/>
      <c r="E15" s="23"/>
      <c r="F15" s="23"/>
      <c r="G15" s="23"/>
      <c r="H15" s="23"/>
      <c r="I15" t="str">
        <f>IF(A15="","",IF(AND(Parametry!$B$39="ANO",B15&lt;&gt;""),COUNTIFS(Historie!$A$2:$A$2000,A15,Historie!$B$2:$B$2000,B15,Historie!$E$2:$E$2000,"&lt;&gt;"),COUNTIFS(Historie!$A$2:$A$2000,A15,Historie!$E$2:$E$2000,"&lt;&gt;")))</f>
        <v/>
      </c>
      <c r="J15" s="14" t="str">
        <f>IF(I15=0,"",IFERROR(IF(AND(Parametry!$B$39="ANO",B15&lt;&gt;""),AVERAGEIFS(Historie!$F$2:$F$2000,Historie!$A$2:$A$2000,A15,Historie!$B$2:$B$2000,B15,Historie!$E$2:$E$2000,"&lt;&gt;"),AVERAGEIFS(Historie!$F$2:$F$2000,Historie!$A$2:$A$2000,A15,Historie!$E$2:$E$2000,"&lt;&gt;")),""))</f>
        <v/>
      </c>
      <c r="K15" s="25">
        <f>IF(I15=0,"",IFERROR(IF(AND(Parametry!$B$39="ANO",B15&lt;&gt;""),COUNTIFS(Historie!$A$2:$A$2000,A15,Historie!$B$2:$B$2000,B15,Historie!$E$2:$E$2000,"&lt;&gt;",Historie!$F$2:$F$2000,"&gt;0")/I15,COUNTIFS(Historie!$A$2:$A$2000,A15,Historie!$E$2:$E$2000,"&lt;&gt;",Historie!$F$2:$F$2000,"&gt;0")/I15),0))</f>
        <v>0</v>
      </c>
      <c r="L15" t="str">
        <f>IF(OR(A15="",I15=0),"",IFERROR(DATEDIF(IF(AND(Parametry!$B$39="ANO",B15&lt;&gt;""),_xludf.minifs(Historie!$E$2:$E$2000,Historie!$A$2:$A$2000,A15,Historie!$B$2:$B$2000,B15,Historie!$E$2:$E$2000,"&lt;&gt;"),_xludf.minifs(Historie!$E$2:$E$2000,Historie!$A$2:$A$2000,A15,Historie!$E$2:$E$2000,"&lt;&gt;")),IF(AND(Parametry!$B$39="ANO",B15&lt;&gt;""),_xludf.maxifs(Historie!$E$2:$E$2000,Historie!$A$2:$A$2000,A15,Historie!$B$2:$B$2000,B15,Historie!$E$2:$E$2000,"&lt;&gt;"),_xludf.maxifs(Historie!$E$2:$E$2000,Historie!$A$2:$A$2000,A15,Historie!$E$2:$E$2000,"&lt;&gt;")),"M"),0))</f>
        <v/>
      </c>
      <c r="M15" s="1" t="str">
        <f>IF(A15="","",IFERROR(IF(AND(Parametry!$B$39="ANO",B15&lt;&gt;""),AVERAGEIFS(Historie!$C$2:$C$2000,Historie!$A$2:$A$2000,A15,Historie!$B$2:$B$2000,B15,Historie!$E$2:$E$2000,"&lt;&gt;"),AVERAGEIFS(Historie!$C$2:$C$2000,Historie!$A$2:$A$2000,A15,Historie!$E$2:$E$2000,"&lt;&gt;")),""))</f>
        <v/>
      </c>
      <c r="N15" t="str">
        <f t="shared" ca="1" si="0"/>
        <v/>
      </c>
      <c r="O15" t="str">
        <f t="shared" si="1"/>
        <v/>
      </c>
      <c r="P15" t="str">
        <f t="shared" si="2"/>
        <v/>
      </c>
      <c r="Q15" s="26" t="str">
        <f t="shared" si="3"/>
        <v/>
      </c>
      <c r="R15" t="str">
        <f>IF(OR(A15="",E15=""),"",IF(I15&gt;=Parametry!$B$4,Parametry!$B$9,0))</f>
        <v/>
      </c>
      <c r="S15" t="str">
        <f>IF(OR(A15="",E15=""),"",IF(I15&gt;0,IF(J15&lt;=Parametry!$B$5,Parametry!$B$10,0),0))</f>
        <v/>
      </c>
      <c r="T15" t="str">
        <f>IF(OR(A15="",E15=""),"",IF(I15&gt;0,IF(K15&lt;=Parametry!$B$6,Parametry!$B$11,0),0))</f>
        <v/>
      </c>
      <c r="U15" t="str">
        <f>IF(OR(A15="",E15=""),"",IF(L15&gt;=Parametry!$B$7,Parametry!$B$12,0))</f>
        <v/>
      </c>
      <c r="V15" t="str">
        <f>IF(OR(A15="",E15=""),"",IF(M15&gt;0,IF(Q15&lt;=Parametry!$B$8,Parametry!$B$13,0),0))</f>
        <v/>
      </c>
      <c r="W15" t="str">
        <f>IF(OR(A15="",E15=""),"",IF(P15="ANO",Parametry!$B$14,0))</f>
        <v/>
      </c>
      <c r="X15" t="str">
        <f>IF(OR(A15="",E15=""),"",IF(G15="ANO",Parametry!$B$15,0))</f>
        <v/>
      </c>
      <c r="Y15" t="str">
        <f>IF(OR(A15="",E15=""),"",IF(H15="ANO",Parametry!$B$16,0))</f>
        <v/>
      </c>
      <c r="Z15" t="str">
        <f t="shared" si="4"/>
        <v/>
      </c>
      <c r="AA15" t="str">
        <f>IF(Z15="","",IF(AW15="STOP","Stop",IF(AW15="MANUAL",IF(Z15&gt;=Parametry!$B$19,"Watchlist","Stop"),IF(Z15&gt;=Parametry!$B$17,"Nízké riziko",IF(Z15&gt;=Parametry!$B$18,"Střední riziko",IF(Z15&gt;=Parametry!$B$19,"Watchlist","Stop"))))))</f>
        <v/>
      </c>
      <c r="AB15" s="17" t="str">
        <f>IF(AA15="","",MIN(IF(AA15="Nízké riziko",Parametry!$B$20,IF(AA15="Střední riziko",Parametry!$B$21,IF(AA15="Watchlist",Parametry!$B$22,Parametry!$B$23))),IFERROR(INDEX(Ciselniky!$H$3:$H$10,MATCH(AT15,Ciselniky!$F$3:$F$10,0)),0)))</f>
        <v/>
      </c>
      <c r="AC15" s="17" t="str">
        <f>IF(AA15="","",IF(AA15="Stop",0,IF(AA15="Nízké riziko",Parametry!$B$24,IF(AA15="Střední riziko",Parametry!$B$25,IF(AA15="Watchlist",Parametry!$B$26,0)))+IFERROR(INDEX(Ciselniky!$I$3:$I$10,MATCH(AT15,Ciselniky!$F$3:$F$10,0)),0)))</f>
        <v/>
      </c>
      <c r="AD15" t="str">
        <f t="shared" si="5"/>
        <v/>
      </c>
      <c r="AE15">
        <f t="shared" si="6"/>
        <v>0</v>
      </c>
      <c r="AF15">
        <f t="shared" si="7"/>
        <v>0</v>
      </c>
      <c r="AG15">
        <f>Parametry!$B$28</f>
        <v>5800000</v>
      </c>
      <c r="AH15" s="17" t="str">
        <f t="shared" si="8"/>
        <v/>
      </c>
      <c r="AI15" s="17">
        <f>IFERROR(AF15/Parametry!$B$28,"")</f>
        <v>0</v>
      </c>
      <c r="AJ15" s="17">
        <f>IFERROR(AE15/Parametry!$B$28,"")</f>
        <v>0</v>
      </c>
      <c r="AK15" t="str">
        <f>IF(OR(A15="",E15=""),"",MAX(0,100-IF(Parametry!$B$27="early",0.5,IF(Parametry!$B$27="growth",0.75,1))*(IF(AI15&lt;=Parametry!$B$34,0,IF(AI15&lt;=Parametry!$B$34+0.05,8,20))+IF(AH15&lt;=Parametry!$B$35,0,12)+IF(AJ15&lt;=Parametry!$B$36,0,12))))</f>
        <v/>
      </c>
      <c r="AL15" t="str">
        <f>IF(OR(A15="",E15=""),"",IF(Parametry!$B$27="early",IF(OR(AI15&gt;Parametry!$B$34*1.2,AH15&gt;Parametry!$B$35*1.3),"EARLY STAGE EXCEPTION","OK"),IF(Parametry!$B$27="growth",IF(OR(AI15&gt;Parametry!$B$34*1.35,AH15&gt;Parametry!$B$35*1.4),"RED FLAG","OK"),IF(OR(AI15&gt;Parametry!$B$34*1.2,AH15&gt;Parametry!$B$35*1.3),"RED FLAG","OK"))))</f>
        <v/>
      </c>
      <c r="AM15" t="str">
        <f>IF(OR(A15="",E15=""),"",IF(COUNTIF($A$6:A15,A15)=1,AF15,""))</f>
        <v/>
      </c>
      <c r="AN15" t="str">
        <f t="shared" si="9"/>
        <v/>
      </c>
      <c r="AO15" t="str">
        <f t="shared" si="10"/>
        <v/>
      </c>
      <c r="AP15" t="str">
        <f t="shared" si="11"/>
        <v/>
      </c>
      <c r="AQ15" s="14" t="str">
        <f t="shared" si="12"/>
        <v/>
      </c>
      <c r="AR15" t="str">
        <f t="shared" si="13"/>
        <v/>
      </c>
      <c r="AS15" t="str">
        <f t="shared" si="14"/>
        <v/>
      </c>
      <c r="AT15" s="23" t="str">
        <f>IF(A15="","",IF(COUNTIF(Ciselniky!$L$3:$L$200,A15)=0,"NR",IF(INDEX(Ciselniky!$M$3:$M$200,MATCH(A15,Ciselniky!$L$3:$L$200,0))="","NR",INDEX(Ciselniky!$M$3:$M$200,MATCH(A15,Ciselniky!$L$3:$L$200,0)))))</f>
        <v/>
      </c>
      <c r="AU15" t="str">
        <f>IF(A15="","",IF(AT15="NR","doplňit rating v Ciselniky",IFERROR(IF(INDEX(Ciselniky!$N$3:$N$200,MATCH(A15,Ciselniky!$L$3:$L$200,0))="","anchor master",INDEX(Ciselniky!$N$3:$N$200,MATCH(A15,Ciselniky!$L$3:$L$200,0))),"anchor master")))</f>
        <v/>
      </c>
      <c r="AV15" s="14" t="str">
        <f>IF(AT15="","",IFERROR(INDEX(Ciselniky!$G$3:$G$10,MATCH(AT15,Ciselniky!$F$3:$F$10,0)),0))</f>
        <v/>
      </c>
      <c r="AW15" t="str">
        <f>IF(AT15="","",IFERROR(INDEX(Ciselniky!$J$3:$J$10,MATCH(AT15,Ciselniky!$F$3:$F$10,0)),"MANUAL"))</f>
        <v/>
      </c>
      <c r="AX15" s="14" t="str">
        <f t="shared" si="15"/>
        <v/>
      </c>
      <c r="AY15" s="27" t="str">
        <f>IF(OR(A15="",E15=""),"",AV15*Parametry!$B$41)</f>
        <v/>
      </c>
      <c r="AZ15" s="27" t="str">
        <f>IF(OR(A15="",E15=""),"",AX15*Parametry!$B$42)</f>
        <v/>
      </c>
      <c r="BA15" s="27" t="str">
        <f>IF(OR(A15="",E15=""),"",AK15*Parametry!$B$43)</f>
        <v/>
      </c>
      <c r="BB15" s="14" t="str">
        <f>IF(OR(A15="",E15=""),"",IF(AW15="STOP",-100,IF(AT15="BB",Parametry!$B$47,IF(AT15="NR",Parametry!$B$48,0))))</f>
        <v/>
      </c>
    </row>
    <row r="16" spans="1:54" ht="21.75" customHeight="1" x14ac:dyDescent="0.2">
      <c r="A16" s="23"/>
      <c r="B16" s="23"/>
      <c r="C16" s="23"/>
      <c r="D16" s="23"/>
      <c r="E16" s="23"/>
      <c r="F16" s="23"/>
      <c r="G16" s="23"/>
      <c r="H16" s="23"/>
      <c r="I16" t="str">
        <f>IF(A16="","",IF(AND(Parametry!$B$39="ANO",B16&lt;&gt;""),COUNTIFS(Historie!$A$2:$A$2000,A16,Historie!$B$2:$B$2000,B16,Historie!$E$2:$E$2000,"&lt;&gt;"),COUNTIFS(Historie!$A$2:$A$2000,A16,Historie!$E$2:$E$2000,"&lt;&gt;")))</f>
        <v/>
      </c>
      <c r="J16" s="14" t="str">
        <f>IF(I16=0,"",IFERROR(IF(AND(Parametry!$B$39="ANO",B16&lt;&gt;""),AVERAGEIFS(Historie!$F$2:$F$2000,Historie!$A$2:$A$2000,A16,Historie!$B$2:$B$2000,B16,Historie!$E$2:$E$2000,"&lt;&gt;"),AVERAGEIFS(Historie!$F$2:$F$2000,Historie!$A$2:$A$2000,A16,Historie!$E$2:$E$2000,"&lt;&gt;")),""))</f>
        <v/>
      </c>
      <c r="K16" s="25">
        <f>IF(I16=0,"",IFERROR(IF(AND(Parametry!$B$39="ANO",B16&lt;&gt;""),COUNTIFS(Historie!$A$2:$A$2000,A16,Historie!$B$2:$B$2000,B16,Historie!$E$2:$E$2000,"&lt;&gt;",Historie!$F$2:$F$2000,"&gt;0")/I16,COUNTIFS(Historie!$A$2:$A$2000,A16,Historie!$E$2:$E$2000,"&lt;&gt;",Historie!$F$2:$F$2000,"&gt;0")/I16),0))</f>
        <v>0</v>
      </c>
      <c r="L16" t="str">
        <f>IF(OR(A16="",I16=0),"",IFERROR(DATEDIF(IF(AND(Parametry!$B$39="ANO",B16&lt;&gt;""),_xludf.minifs(Historie!$E$2:$E$2000,Historie!$A$2:$A$2000,A16,Historie!$B$2:$B$2000,B16,Historie!$E$2:$E$2000,"&lt;&gt;"),_xludf.minifs(Historie!$E$2:$E$2000,Historie!$A$2:$A$2000,A16,Historie!$E$2:$E$2000,"&lt;&gt;")),IF(AND(Parametry!$B$39="ANO",B16&lt;&gt;""),_xludf.maxifs(Historie!$E$2:$E$2000,Historie!$A$2:$A$2000,A16,Historie!$B$2:$B$2000,B16,Historie!$E$2:$E$2000,"&lt;&gt;"),_xludf.maxifs(Historie!$E$2:$E$2000,Historie!$A$2:$A$2000,A16,Historie!$E$2:$E$2000,"&lt;&gt;")),"M"),0))</f>
        <v/>
      </c>
      <c r="M16" s="1" t="str">
        <f>IF(A16="","",IFERROR(IF(AND(Parametry!$B$39="ANO",B16&lt;&gt;""),AVERAGEIFS(Historie!$C$2:$C$2000,Historie!$A$2:$A$2000,A16,Historie!$B$2:$B$2000,B16,Historie!$E$2:$E$2000,"&lt;&gt;"),AVERAGEIFS(Historie!$C$2:$C$2000,Historie!$A$2:$A$2000,A16,Historie!$E$2:$E$2000,"&lt;&gt;")),""))</f>
        <v/>
      </c>
      <c r="N16" t="str">
        <f t="shared" ca="1" si="0"/>
        <v/>
      </c>
      <c r="O16" t="str">
        <f t="shared" si="1"/>
        <v/>
      </c>
      <c r="P16" t="str">
        <f t="shared" si="2"/>
        <v/>
      </c>
      <c r="Q16" s="26" t="str">
        <f t="shared" si="3"/>
        <v/>
      </c>
      <c r="R16" t="str">
        <f>IF(OR(A16="",E16=""),"",IF(I16&gt;=Parametry!$B$4,Parametry!$B$9,0))</f>
        <v/>
      </c>
      <c r="S16" t="str">
        <f>IF(OR(A16="",E16=""),"",IF(I16&gt;0,IF(J16&lt;=Parametry!$B$5,Parametry!$B$10,0),0))</f>
        <v/>
      </c>
      <c r="T16" t="str">
        <f>IF(OR(A16="",E16=""),"",IF(I16&gt;0,IF(K16&lt;=Parametry!$B$6,Parametry!$B$11,0),0))</f>
        <v/>
      </c>
      <c r="U16" t="str">
        <f>IF(OR(A16="",E16=""),"",IF(L16&gt;=Parametry!$B$7,Parametry!$B$12,0))</f>
        <v/>
      </c>
      <c r="V16" t="str">
        <f>IF(OR(A16="",E16=""),"",IF(M16&gt;0,IF(Q16&lt;=Parametry!$B$8,Parametry!$B$13,0),0))</f>
        <v/>
      </c>
      <c r="W16" t="str">
        <f>IF(OR(A16="",E16=""),"",IF(P16="ANO",Parametry!$B$14,0))</f>
        <v/>
      </c>
      <c r="X16" t="str">
        <f>IF(OR(A16="",E16=""),"",IF(G16="ANO",Parametry!$B$15,0))</f>
        <v/>
      </c>
      <c r="Y16" t="str">
        <f>IF(OR(A16="",E16=""),"",IF(H16="ANO",Parametry!$B$16,0))</f>
        <v/>
      </c>
      <c r="Z16" t="str">
        <f t="shared" si="4"/>
        <v/>
      </c>
      <c r="AA16" t="str">
        <f>IF(Z16="","",IF(AW16="STOP","Stop",IF(AW16="MANUAL",IF(Z16&gt;=Parametry!$B$19,"Watchlist","Stop"),IF(Z16&gt;=Parametry!$B$17,"Nízké riziko",IF(Z16&gt;=Parametry!$B$18,"Střední riziko",IF(Z16&gt;=Parametry!$B$19,"Watchlist","Stop"))))))</f>
        <v/>
      </c>
      <c r="AB16" s="17" t="str">
        <f>IF(AA16="","",MIN(IF(AA16="Nízké riziko",Parametry!$B$20,IF(AA16="Střední riziko",Parametry!$B$21,IF(AA16="Watchlist",Parametry!$B$22,Parametry!$B$23))),IFERROR(INDEX(Ciselniky!$H$3:$H$10,MATCH(AT16,Ciselniky!$F$3:$F$10,0)),0)))</f>
        <v/>
      </c>
      <c r="AC16" s="17" t="str">
        <f>IF(AA16="","",IF(AA16="Stop",0,IF(AA16="Nízké riziko",Parametry!$B$24,IF(AA16="Střední riziko",Parametry!$B$25,IF(AA16="Watchlist",Parametry!$B$26,0)))+IFERROR(INDEX(Ciselniky!$I$3:$I$10,MATCH(AT16,Ciselniky!$F$3:$F$10,0)),0)))</f>
        <v/>
      </c>
      <c r="AD16" t="str">
        <f t="shared" si="5"/>
        <v/>
      </c>
      <c r="AE16">
        <f t="shared" si="6"/>
        <v>0</v>
      </c>
      <c r="AF16">
        <f t="shared" si="7"/>
        <v>0</v>
      </c>
      <c r="AG16">
        <f>Parametry!$B$28</f>
        <v>5800000</v>
      </c>
      <c r="AH16" s="17" t="str">
        <f t="shared" si="8"/>
        <v/>
      </c>
      <c r="AI16" s="17">
        <f>IFERROR(AF16/Parametry!$B$28,"")</f>
        <v>0</v>
      </c>
      <c r="AJ16" s="17">
        <f>IFERROR(AE16/Parametry!$B$28,"")</f>
        <v>0</v>
      </c>
      <c r="AK16" t="str">
        <f>IF(OR(A16="",E16=""),"",MAX(0,100-IF(Parametry!$B$27="early",0.5,IF(Parametry!$B$27="growth",0.75,1))*(IF(AI16&lt;=Parametry!$B$34,0,IF(AI16&lt;=Parametry!$B$34+0.05,8,20))+IF(AH16&lt;=Parametry!$B$35,0,12)+IF(AJ16&lt;=Parametry!$B$36,0,12))))</f>
        <v/>
      </c>
      <c r="AL16" t="str">
        <f>IF(OR(A16="",E16=""),"",IF(Parametry!$B$27="early",IF(OR(AI16&gt;Parametry!$B$34*1.2,AH16&gt;Parametry!$B$35*1.3),"EARLY STAGE EXCEPTION","OK"),IF(Parametry!$B$27="growth",IF(OR(AI16&gt;Parametry!$B$34*1.35,AH16&gt;Parametry!$B$35*1.4),"RED FLAG","OK"),IF(OR(AI16&gt;Parametry!$B$34*1.2,AH16&gt;Parametry!$B$35*1.3),"RED FLAG","OK"))))</f>
        <v/>
      </c>
      <c r="AM16" t="str">
        <f>IF(OR(A16="",E16=""),"",IF(COUNTIF($A$6:A16,A16)=1,AF16,""))</f>
        <v/>
      </c>
      <c r="AN16" t="str">
        <f t="shared" si="9"/>
        <v/>
      </c>
      <c r="AO16" t="str">
        <f t="shared" si="10"/>
        <v/>
      </c>
      <c r="AP16" t="str">
        <f t="shared" si="11"/>
        <v/>
      </c>
      <c r="AQ16" s="14" t="str">
        <f t="shared" si="12"/>
        <v/>
      </c>
      <c r="AR16" t="str">
        <f t="shared" si="13"/>
        <v/>
      </c>
      <c r="AS16" t="str">
        <f t="shared" si="14"/>
        <v/>
      </c>
      <c r="AT16" s="23" t="str">
        <f>IF(A16="","",IF(COUNTIF(Ciselniky!$L$3:$L$200,A16)=0,"NR",IF(INDEX(Ciselniky!$M$3:$M$200,MATCH(A16,Ciselniky!$L$3:$L$200,0))="","NR",INDEX(Ciselniky!$M$3:$M$200,MATCH(A16,Ciselniky!$L$3:$L$200,0)))))</f>
        <v/>
      </c>
      <c r="AU16" t="str">
        <f>IF(A16="","",IF(AT16="NR","doplňit rating v Ciselniky",IFERROR(IF(INDEX(Ciselniky!$N$3:$N$200,MATCH(A16,Ciselniky!$L$3:$L$200,0))="","anchor master",INDEX(Ciselniky!$N$3:$N$200,MATCH(A16,Ciselniky!$L$3:$L$200,0))),"anchor master")))</f>
        <v/>
      </c>
      <c r="AV16" s="14" t="str">
        <f>IF(AT16="","",IFERROR(INDEX(Ciselniky!$G$3:$G$10,MATCH(AT16,Ciselniky!$F$3:$F$10,0)),0))</f>
        <v/>
      </c>
      <c r="AW16" t="str">
        <f>IF(AT16="","",IFERROR(INDEX(Ciselniky!$J$3:$J$10,MATCH(AT16,Ciselniky!$F$3:$F$10,0)),"MANUAL"))</f>
        <v/>
      </c>
      <c r="AX16" s="14" t="str">
        <f t="shared" si="15"/>
        <v/>
      </c>
      <c r="AY16" s="27" t="str">
        <f>IF(OR(A16="",E16=""),"",AV16*Parametry!$B$41)</f>
        <v/>
      </c>
      <c r="AZ16" s="27" t="str">
        <f>IF(OR(A16="",E16=""),"",AX16*Parametry!$B$42)</f>
        <v/>
      </c>
      <c r="BA16" s="27" t="str">
        <f>IF(OR(A16="",E16=""),"",AK16*Parametry!$B$43)</f>
        <v/>
      </c>
      <c r="BB16" s="14" t="str">
        <f>IF(OR(A16="",E16=""),"",IF(AW16="STOP",-100,IF(AT16="BB",Parametry!$B$47,IF(AT16="NR",Parametry!$B$48,0))))</f>
        <v/>
      </c>
    </row>
    <row r="17" spans="1:54" ht="21.75" customHeight="1" x14ac:dyDescent="0.2">
      <c r="A17" s="23"/>
      <c r="B17" s="23"/>
      <c r="C17" s="23"/>
      <c r="D17" s="23"/>
      <c r="E17" s="23"/>
      <c r="F17" s="23"/>
      <c r="G17" s="23"/>
      <c r="H17" s="23"/>
      <c r="I17" t="str">
        <f>IF(A17="","",IF(AND(Parametry!$B$39="ANO",B17&lt;&gt;""),COUNTIFS(Historie!$A$2:$A$2000,A17,Historie!$B$2:$B$2000,B17,Historie!$E$2:$E$2000,"&lt;&gt;"),COUNTIFS(Historie!$A$2:$A$2000,A17,Historie!$E$2:$E$2000,"&lt;&gt;")))</f>
        <v/>
      </c>
      <c r="J17" s="14" t="str">
        <f>IF(I17=0,"",IFERROR(IF(AND(Parametry!$B$39="ANO",B17&lt;&gt;""),AVERAGEIFS(Historie!$F$2:$F$2000,Historie!$A$2:$A$2000,A17,Historie!$B$2:$B$2000,B17,Historie!$E$2:$E$2000,"&lt;&gt;"),AVERAGEIFS(Historie!$F$2:$F$2000,Historie!$A$2:$A$2000,A17,Historie!$E$2:$E$2000,"&lt;&gt;")),""))</f>
        <v/>
      </c>
      <c r="K17" s="25">
        <f>IF(I17=0,"",IFERROR(IF(AND(Parametry!$B$39="ANO",B17&lt;&gt;""),COUNTIFS(Historie!$A$2:$A$2000,A17,Historie!$B$2:$B$2000,B17,Historie!$E$2:$E$2000,"&lt;&gt;",Historie!$F$2:$F$2000,"&gt;0")/I17,COUNTIFS(Historie!$A$2:$A$2000,A17,Historie!$E$2:$E$2000,"&lt;&gt;",Historie!$F$2:$F$2000,"&gt;0")/I17),0))</f>
        <v>0</v>
      </c>
      <c r="L17" t="str">
        <f>IF(OR(A17="",I17=0),"",IFERROR(DATEDIF(IF(AND(Parametry!$B$39="ANO",B17&lt;&gt;""),_xludf.minifs(Historie!$E$2:$E$2000,Historie!$A$2:$A$2000,A17,Historie!$B$2:$B$2000,B17,Historie!$E$2:$E$2000,"&lt;&gt;"),_xludf.minifs(Historie!$E$2:$E$2000,Historie!$A$2:$A$2000,A17,Historie!$E$2:$E$2000,"&lt;&gt;")),IF(AND(Parametry!$B$39="ANO",B17&lt;&gt;""),_xludf.maxifs(Historie!$E$2:$E$2000,Historie!$A$2:$A$2000,A17,Historie!$B$2:$B$2000,B17,Historie!$E$2:$E$2000,"&lt;&gt;"),_xludf.maxifs(Historie!$E$2:$E$2000,Historie!$A$2:$A$2000,A17,Historie!$E$2:$E$2000,"&lt;&gt;")),"M"),0))</f>
        <v/>
      </c>
      <c r="M17" s="1" t="str">
        <f>IF(A17="","",IFERROR(IF(AND(Parametry!$B$39="ANO",B17&lt;&gt;""),AVERAGEIFS(Historie!$C$2:$C$2000,Historie!$A$2:$A$2000,A17,Historie!$B$2:$B$2000,B17,Historie!$E$2:$E$2000,"&lt;&gt;"),AVERAGEIFS(Historie!$C$2:$C$2000,Historie!$A$2:$A$2000,A17,Historie!$E$2:$E$2000,"&lt;&gt;")),""))</f>
        <v/>
      </c>
      <c r="N17" t="str">
        <f t="shared" ca="1" si="0"/>
        <v/>
      </c>
      <c r="O17" t="str">
        <f t="shared" si="1"/>
        <v/>
      </c>
      <c r="P17" t="str">
        <f t="shared" si="2"/>
        <v/>
      </c>
      <c r="Q17" s="26" t="str">
        <f t="shared" si="3"/>
        <v/>
      </c>
      <c r="R17" t="str">
        <f>IF(OR(A17="",E17=""),"",IF(I17&gt;=Parametry!$B$4,Parametry!$B$9,0))</f>
        <v/>
      </c>
      <c r="S17" t="str">
        <f>IF(OR(A17="",E17=""),"",IF(I17&gt;0,IF(J17&lt;=Parametry!$B$5,Parametry!$B$10,0),0))</f>
        <v/>
      </c>
      <c r="T17" t="str">
        <f>IF(OR(A17="",E17=""),"",IF(I17&gt;0,IF(K17&lt;=Parametry!$B$6,Parametry!$B$11,0),0))</f>
        <v/>
      </c>
      <c r="U17" t="str">
        <f>IF(OR(A17="",E17=""),"",IF(L17&gt;=Parametry!$B$7,Parametry!$B$12,0))</f>
        <v/>
      </c>
      <c r="V17" t="str">
        <f>IF(OR(A17="",E17=""),"",IF(M17&gt;0,IF(Q17&lt;=Parametry!$B$8,Parametry!$B$13,0),0))</f>
        <v/>
      </c>
      <c r="W17" t="str">
        <f>IF(OR(A17="",E17=""),"",IF(P17="ANO",Parametry!$B$14,0))</f>
        <v/>
      </c>
      <c r="X17" t="str">
        <f>IF(OR(A17="",E17=""),"",IF(G17="ANO",Parametry!$B$15,0))</f>
        <v/>
      </c>
      <c r="Y17" t="str">
        <f>IF(OR(A17="",E17=""),"",IF(H17="ANO",Parametry!$B$16,0))</f>
        <v/>
      </c>
      <c r="Z17" t="str">
        <f t="shared" si="4"/>
        <v/>
      </c>
      <c r="AA17" t="str">
        <f>IF(Z17="","",IF(AW17="STOP","Stop",IF(AW17="MANUAL",IF(Z17&gt;=Parametry!$B$19,"Watchlist","Stop"),IF(Z17&gt;=Parametry!$B$17,"Nízké riziko",IF(Z17&gt;=Parametry!$B$18,"Střední riziko",IF(Z17&gt;=Parametry!$B$19,"Watchlist","Stop"))))))</f>
        <v/>
      </c>
      <c r="AB17" s="17" t="str">
        <f>IF(AA17="","",MIN(IF(AA17="Nízké riziko",Parametry!$B$20,IF(AA17="Střední riziko",Parametry!$B$21,IF(AA17="Watchlist",Parametry!$B$22,Parametry!$B$23))),IFERROR(INDEX(Ciselniky!$H$3:$H$10,MATCH(AT17,Ciselniky!$F$3:$F$10,0)),0)))</f>
        <v/>
      </c>
      <c r="AC17" s="17" t="str">
        <f>IF(AA17="","",IF(AA17="Stop",0,IF(AA17="Nízké riziko",Parametry!$B$24,IF(AA17="Střední riziko",Parametry!$B$25,IF(AA17="Watchlist",Parametry!$B$26,0)))+IFERROR(INDEX(Ciselniky!$I$3:$I$10,MATCH(AT17,Ciselniky!$F$3:$F$10,0)),0)))</f>
        <v/>
      </c>
      <c r="AD17" t="str">
        <f t="shared" si="5"/>
        <v/>
      </c>
      <c r="AE17">
        <f t="shared" si="6"/>
        <v>0</v>
      </c>
      <c r="AF17">
        <f t="shared" si="7"/>
        <v>0</v>
      </c>
      <c r="AG17">
        <f>Parametry!$B$28</f>
        <v>5800000</v>
      </c>
      <c r="AH17" s="17" t="str">
        <f t="shared" si="8"/>
        <v/>
      </c>
      <c r="AI17" s="17">
        <f>IFERROR(AF17/Parametry!$B$28,"")</f>
        <v>0</v>
      </c>
      <c r="AJ17" s="17">
        <f>IFERROR(AE17/Parametry!$B$28,"")</f>
        <v>0</v>
      </c>
      <c r="AK17" t="str">
        <f>IF(OR(A17="",E17=""),"",MAX(0,100-IF(Parametry!$B$27="early",0.5,IF(Parametry!$B$27="growth",0.75,1))*(IF(AI17&lt;=Parametry!$B$34,0,IF(AI17&lt;=Parametry!$B$34+0.05,8,20))+IF(AH17&lt;=Parametry!$B$35,0,12)+IF(AJ17&lt;=Parametry!$B$36,0,12))))</f>
        <v/>
      </c>
      <c r="AL17" t="str">
        <f>IF(OR(A17="",E17=""),"",IF(Parametry!$B$27="early",IF(OR(AI17&gt;Parametry!$B$34*1.2,AH17&gt;Parametry!$B$35*1.3),"EARLY STAGE EXCEPTION","OK"),IF(Parametry!$B$27="growth",IF(OR(AI17&gt;Parametry!$B$34*1.35,AH17&gt;Parametry!$B$35*1.4),"RED FLAG","OK"),IF(OR(AI17&gt;Parametry!$B$34*1.2,AH17&gt;Parametry!$B$35*1.3),"RED FLAG","OK"))))</f>
        <v/>
      </c>
      <c r="AM17" t="str">
        <f>IF(OR(A17="",E17=""),"",IF(COUNTIF($A$6:A17,A17)=1,AF17,""))</f>
        <v/>
      </c>
      <c r="AN17" t="str">
        <f t="shared" si="9"/>
        <v/>
      </c>
      <c r="AO17" t="str">
        <f t="shared" si="10"/>
        <v/>
      </c>
      <c r="AP17" t="str">
        <f t="shared" si="11"/>
        <v/>
      </c>
      <c r="AQ17" s="14" t="str">
        <f t="shared" si="12"/>
        <v/>
      </c>
      <c r="AR17" t="str">
        <f t="shared" si="13"/>
        <v/>
      </c>
      <c r="AS17" t="str">
        <f t="shared" si="14"/>
        <v/>
      </c>
      <c r="AT17" s="23" t="str">
        <f>IF(A17="","",IF(COUNTIF(Ciselniky!$L$3:$L$200,A17)=0,"NR",IF(INDEX(Ciselniky!$M$3:$M$200,MATCH(A17,Ciselniky!$L$3:$L$200,0))="","NR",INDEX(Ciselniky!$M$3:$M$200,MATCH(A17,Ciselniky!$L$3:$L$200,0)))))</f>
        <v/>
      </c>
      <c r="AU17" t="str">
        <f>IF(A17="","",IF(AT17="NR","doplňit rating v Ciselniky",IFERROR(IF(INDEX(Ciselniky!$N$3:$N$200,MATCH(A17,Ciselniky!$L$3:$L$200,0))="","anchor master",INDEX(Ciselniky!$N$3:$N$200,MATCH(A17,Ciselniky!$L$3:$L$200,0))),"anchor master")))</f>
        <v/>
      </c>
      <c r="AV17" s="14" t="str">
        <f>IF(AT17="","",IFERROR(INDEX(Ciselniky!$G$3:$G$10,MATCH(AT17,Ciselniky!$F$3:$F$10,0)),0))</f>
        <v/>
      </c>
      <c r="AW17" t="str">
        <f>IF(AT17="","",IFERROR(INDEX(Ciselniky!$J$3:$J$10,MATCH(AT17,Ciselniky!$F$3:$F$10,0)),"MANUAL"))</f>
        <v/>
      </c>
      <c r="AX17" s="14" t="str">
        <f t="shared" si="15"/>
        <v/>
      </c>
      <c r="AY17" s="27" t="str">
        <f>IF(OR(A17="",E17=""),"",AV17*Parametry!$B$41)</f>
        <v/>
      </c>
      <c r="AZ17" s="27" t="str">
        <f>IF(OR(A17="",E17=""),"",AX17*Parametry!$B$42)</f>
        <v/>
      </c>
      <c r="BA17" s="27" t="str">
        <f>IF(OR(A17="",E17=""),"",AK17*Parametry!$B$43)</f>
        <v/>
      </c>
      <c r="BB17" s="14" t="str">
        <f>IF(OR(A17="",E17=""),"",IF(AW17="STOP",-100,IF(AT17="BB",Parametry!$B$47,IF(AT17="NR",Parametry!$B$48,0))))</f>
        <v/>
      </c>
    </row>
    <row r="18" spans="1:54" ht="21.75" customHeight="1" x14ac:dyDescent="0.2">
      <c r="A18" s="23"/>
      <c r="B18" s="23"/>
      <c r="C18" s="23"/>
      <c r="D18" s="23"/>
      <c r="E18" s="23"/>
      <c r="F18" s="23"/>
      <c r="G18" s="23"/>
      <c r="H18" s="23"/>
      <c r="I18" t="str">
        <f>IF(A18="","",IF(AND(Parametry!$B$39="ANO",B18&lt;&gt;""),COUNTIFS(Historie!$A$2:$A$2000,A18,Historie!$B$2:$B$2000,B18,Historie!$E$2:$E$2000,"&lt;&gt;"),COUNTIFS(Historie!$A$2:$A$2000,A18,Historie!$E$2:$E$2000,"&lt;&gt;")))</f>
        <v/>
      </c>
      <c r="J18" s="14" t="str">
        <f>IF(I18=0,"",IFERROR(IF(AND(Parametry!$B$39="ANO",B18&lt;&gt;""),AVERAGEIFS(Historie!$F$2:$F$2000,Historie!$A$2:$A$2000,A18,Historie!$B$2:$B$2000,B18,Historie!$E$2:$E$2000,"&lt;&gt;"),AVERAGEIFS(Historie!$F$2:$F$2000,Historie!$A$2:$A$2000,A18,Historie!$E$2:$E$2000,"&lt;&gt;")),""))</f>
        <v/>
      </c>
      <c r="K18" s="25">
        <f>IF(I18=0,"",IFERROR(IF(AND(Parametry!$B$39="ANO",B18&lt;&gt;""),COUNTIFS(Historie!$A$2:$A$2000,A18,Historie!$B$2:$B$2000,B18,Historie!$E$2:$E$2000,"&lt;&gt;",Historie!$F$2:$F$2000,"&gt;0")/I18,COUNTIFS(Historie!$A$2:$A$2000,A18,Historie!$E$2:$E$2000,"&lt;&gt;",Historie!$F$2:$F$2000,"&gt;0")/I18),0))</f>
        <v>0</v>
      </c>
      <c r="L18" t="str">
        <f>IF(OR(A18="",I18=0),"",IFERROR(DATEDIF(IF(AND(Parametry!$B$39="ANO",B18&lt;&gt;""),_xludf.minifs(Historie!$E$2:$E$2000,Historie!$A$2:$A$2000,A18,Historie!$B$2:$B$2000,B18,Historie!$E$2:$E$2000,"&lt;&gt;"),_xludf.minifs(Historie!$E$2:$E$2000,Historie!$A$2:$A$2000,A18,Historie!$E$2:$E$2000,"&lt;&gt;")),IF(AND(Parametry!$B$39="ANO",B18&lt;&gt;""),_xludf.maxifs(Historie!$E$2:$E$2000,Historie!$A$2:$A$2000,A18,Historie!$B$2:$B$2000,B18,Historie!$E$2:$E$2000,"&lt;&gt;"),_xludf.maxifs(Historie!$E$2:$E$2000,Historie!$A$2:$A$2000,A18,Historie!$E$2:$E$2000,"&lt;&gt;")),"M"),0))</f>
        <v/>
      </c>
      <c r="M18" s="1" t="str">
        <f>IF(A18="","",IFERROR(IF(AND(Parametry!$B$39="ANO",B18&lt;&gt;""),AVERAGEIFS(Historie!$C$2:$C$2000,Historie!$A$2:$A$2000,A18,Historie!$B$2:$B$2000,B18,Historie!$E$2:$E$2000,"&lt;&gt;"),AVERAGEIFS(Historie!$C$2:$C$2000,Historie!$A$2:$A$2000,A18,Historie!$E$2:$E$2000,"&lt;&gt;")),""))</f>
        <v/>
      </c>
      <c r="N18" t="str">
        <f t="shared" ca="1" si="0"/>
        <v/>
      </c>
      <c r="O18" t="str">
        <f t="shared" si="1"/>
        <v/>
      </c>
      <c r="P18" t="str">
        <f t="shared" si="2"/>
        <v/>
      </c>
      <c r="Q18" s="26" t="str">
        <f t="shared" si="3"/>
        <v/>
      </c>
      <c r="R18" t="str">
        <f>IF(OR(A18="",E18=""),"",IF(I18&gt;=Parametry!$B$4,Parametry!$B$9,0))</f>
        <v/>
      </c>
      <c r="S18" t="str">
        <f>IF(OR(A18="",E18=""),"",IF(I18&gt;0,IF(J18&lt;=Parametry!$B$5,Parametry!$B$10,0),0))</f>
        <v/>
      </c>
      <c r="T18" t="str">
        <f>IF(OR(A18="",E18=""),"",IF(I18&gt;0,IF(K18&lt;=Parametry!$B$6,Parametry!$B$11,0),0))</f>
        <v/>
      </c>
      <c r="U18" t="str">
        <f>IF(OR(A18="",E18=""),"",IF(L18&gt;=Parametry!$B$7,Parametry!$B$12,0))</f>
        <v/>
      </c>
      <c r="V18" t="str">
        <f>IF(OR(A18="",E18=""),"",IF(M18&gt;0,IF(Q18&lt;=Parametry!$B$8,Parametry!$B$13,0),0))</f>
        <v/>
      </c>
      <c r="W18" t="str">
        <f>IF(OR(A18="",E18=""),"",IF(P18="ANO",Parametry!$B$14,0))</f>
        <v/>
      </c>
      <c r="X18" t="str">
        <f>IF(OR(A18="",E18=""),"",IF(G18="ANO",Parametry!$B$15,0))</f>
        <v/>
      </c>
      <c r="Y18" t="str">
        <f>IF(OR(A18="",E18=""),"",IF(H18="ANO",Parametry!$B$16,0))</f>
        <v/>
      </c>
      <c r="Z18" t="str">
        <f t="shared" si="4"/>
        <v/>
      </c>
      <c r="AA18" t="str">
        <f>IF(Z18="","",IF(AW18="STOP","Stop",IF(AW18="MANUAL",IF(Z18&gt;=Parametry!$B$19,"Watchlist","Stop"),IF(Z18&gt;=Parametry!$B$17,"Nízké riziko",IF(Z18&gt;=Parametry!$B$18,"Střední riziko",IF(Z18&gt;=Parametry!$B$19,"Watchlist","Stop"))))))</f>
        <v/>
      </c>
      <c r="AB18" s="17" t="str">
        <f>IF(AA18="","",MIN(IF(AA18="Nízké riziko",Parametry!$B$20,IF(AA18="Střední riziko",Parametry!$B$21,IF(AA18="Watchlist",Parametry!$B$22,Parametry!$B$23))),IFERROR(INDEX(Ciselniky!$H$3:$H$10,MATCH(AT18,Ciselniky!$F$3:$F$10,0)),0)))</f>
        <v/>
      </c>
      <c r="AC18" s="17" t="str">
        <f>IF(AA18="","",IF(AA18="Stop",0,IF(AA18="Nízké riziko",Parametry!$B$24,IF(AA18="Střední riziko",Parametry!$B$25,IF(AA18="Watchlist",Parametry!$B$26,0)))+IFERROR(INDEX(Ciselniky!$I$3:$I$10,MATCH(AT18,Ciselniky!$F$3:$F$10,0)),0)))</f>
        <v/>
      </c>
      <c r="AD18" t="str">
        <f t="shared" si="5"/>
        <v/>
      </c>
      <c r="AE18">
        <f t="shared" si="6"/>
        <v>0</v>
      </c>
      <c r="AF18">
        <f t="shared" si="7"/>
        <v>0</v>
      </c>
      <c r="AG18">
        <f>Parametry!$B$28</f>
        <v>5800000</v>
      </c>
      <c r="AH18" s="17" t="str">
        <f t="shared" si="8"/>
        <v/>
      </c>
      <c r="AI18" s="17">
        <f>IFERROR(AF18/Parametry!$B$28,"")</f>
        <v>0</v>
      </c>
      <c r="AJ18" s="17">
        <f>IFERROR(AE18/Parametry!$B$28,"")</f>
        <v>0</v>
      </c>
      <c r="AK18" t="str">
        <f>IF(OR(A18="",E18=""),"",MAX(0,100-IF(Parametry!$B$27="early",0.5,IF(Parametry!$B$27="growth",0.75,1))*(IF(AI18&lt;=Parametry!$B$34,0,IF(AI18&lt;=Parametry!$B$34+0.05,8,20))+IF(AH18&lt;=Parametry!$B$35,0,12)+IF(AJ18&lt;=Parametry!$B$36,0,12))))</f>
        <v/>
      </c>
      <c r="AL18" t="str">
        <f>IF(OR(A18="",E18=""),"",IF(Parametry!$B$27="early",IF(OR(AI18&gt;Parametry!$B$34*1.2,AH18&gt;Parametry!$B$35*1.3),"EARLY STAGE EXCEPTION","OK"),IF(Parametry!$B$27="growth",IF(OR(AI18&gt;Parametry!$B$34*1.35,AH18&gt;Parametry!$B$35*1.4),"RED FLAG","OK"),IF(OR(AI18&gt;Parametry!$B$34*1.2,AH18&gt;Parametry!$B$35*1.3),"RED FLAG","OK"))))</f>
        <v/>
      </c>
      <c r="AM18" t="str">
        <f>IF(OR(A18="",E18=""),"",IF(COUNTIF($A$6:A18,A18)=1,AF18,""))</f>
        <v/>
      </c>
      <c r="AN18" t="str">
        <f t="shared" si="9"/>
        <v/>
      </c>
      <c r="AO18" t="str">
        <f t="shared" si="10"/>
        <v/>
      </c>
      <c r="AP18" t="str">
        <f t="shared" si="11"/>
        <v/>
      </c>
      <c r="AQ18" s="14" t="str">
        <f t="shared" si="12"/>
        <v/>
      </c>
      <c r="AR18" t="str">
        <f t="shared" si="13"/>
        <v/>
      </c>
      <c r="AS18" t="str">
        <f t="shared" si="14"/>
        <v/>
      </c>
      <c r="AT18" s="23" t="str">
        <f>IF(A18="","",IF(COUNTIF(Ciselniky!$L$3:$L$200,A18)=0,"NR",IF(INDEX(Ciselniky!$M$3:$M$200,MATCH(A18,Ciselniky!$L$3:$L$200,0))="","NR",INDEX(Ciselniky!$M$3:$M$200,MATCH(A18,Ciselniky!$L$3:$L$200,0)))))</f>
        <v/>
      </c>
      <c r="AU18" t="str">
        <f>IF(A18="","",IF(AT18="NR","doplňit rating v Ciselniky",IFERROR(IF(INDEX(Ciselniky!$N$3:$N$200,MATCH(A18,Ciselniky!$L$3:$L$200,0))="","anchor master",INDEX(Ciselniky!$N$3:$N$200,MATCH(A18,Ciselniky!$L$3:$L$200,0))),"anchor master")))</f>
        <v/>
      </c>
      <c r="AV18" s="14" t="str">
        <f>IF(AT18="","",IFERROR(INDEX(Ciselniky!$G$3:$G$10,MATCH(AT18,Ciselniky!$F$3:$F$10,0)),0))</f>
        <v/>
      </c>
      <c r="AW18" t="str">
        <f>IF(AT18="","",IFERROR(INDEX(Ciselniky!$J$3:$J$10,MATCH(AT18,Ciselniky!$F$3:$F$10,0)),"MANUAL"))</f>
        <v/>
      </c>
      <c r="AX18" s="14" t="str">
        <f t="shared" si="15"/>
        <v/>
      </c>
      <c r="AY18" s="27" t="str">
        <f>IF(OR(A18="",E18=""),"",AV18*Parametry!$B$41)</f>
        <v/>
      </c>
      <c r="AZ18" s="27" t="str">
        <f>IF(OR(A18="",E18=""),"",AX18*Parametry!$B$42)</f>
        <v/>
      </c>
      <c r="BA18" s="27" t="str">
        <f>IF(OR(A18="",E18=""),"",AK18*Parametry!$B$43)</f>
        <v/>
      </c>
      <c r="BB18" s="14" t="str">
        <f>IF(OR(A18="",E18=""),"",IF(AW18="STOP",-100,IF(AT18="BB",Parametry!$B$47,IF(AT18="NR",Parametry!$B$48,0))))</f>
        <v/>
      </c>
    </row>
    <row r="19" spans="1:54" ht="21.75" customHeight="1" x14ac:dyDescent="0.2">
      <c r="A19" s="23"/>
      <c r="B19" s="23"/>
      <c r="C19" s="23"/>
      <c r="D19" s="23"/>
      <c r="E19" s="23"/>
      <c r="F19" s="23"/>
      <c r="G19" s="23"/>
      <c r="H19" s="23"/>
      <c r="I19" t="str">
        <f>IF(A19="","",IF(AND(Parametry!$B$39="ANO",B19&lt;&gt;""),COUNTIFS(Historie!$A$2:$A$2000,A19,Historie!$B$2:$B$2000,B19,Historie!$E$2:$E$2000,"&lt;&gt;"),COUNTIFS(Historie!$A$2:$A$2000,A19,Historie!$E$2:$E$2000,"&lt;&gt;")))</f>
        <v/>
      </c>
      <c r="J19" s="14" t="str">
        <f>IF(I19=0,"",IFERROR(IF(AND(Parametry!$B$39="ANO",B19&lt;&gt;""),AVERAGEIFS(Historie!$F$2:$F$2000,Historie!$A$2:$A$2000,A19,Historie!$B$2:$B$2000,B19,Historie!$E$2:$E$2000,"&lt;&gt;"),AVERAGEIFS(Historie!$F$2:$F$2000,Historie!$A$2:$A$2000,A19,Historie!$E$2:$E$2000,"&lt;&gt;")),""))</f>
        <v/>
      </c>
      <c r="K19" s="25">
        <f>IF(I19=0,"",IFERROR(IF(AND(Parametry!$B$39="ANO",B19&lt;&gt;""),COUNTIFS(Historie!$A$2:$A$2000,A19,Historie!$B$2:$B$2000,B19,Historie!$E$2:$E$2000,"&lt;&gt;",Historie!$F$2:$F$2000,"&gt;0")/I19,COUNTIFS(Historie!$A$2:$A$2000,A19,Historie!$E$2:$E$2000,"&lt;&gt;",Historie!$F$2:$F$2000,"&gt;0")/I19),0))</f>
        <v>0</v>
      </c>
      <c r="L19" t="str">
        <f>IF(OR(A19="",I19=0),"",IFERROR(DATEDIF(IF(AND(Parametry!$B$39="ANO",B19&lt;&gt;""),_xludf.minifs(Historie!$E$2:$E$2000,Historie!$A$2:$A$2000,A19,Historie!$B$2:$B$2000,B19,Historie!$E$2:$E$2000,"&lt;&gt;"),_xludf.minifs(Historie!$E$2:$E$2000,Historie!$A$2:$A$2000,A19,Historie!$E$2:$E$2000,"&lt;&gt;")),IF(AND(Parametry!$B$39="ANO",B19&lt;&gt;""),_xludf.maxifs(Historie!$E$2:$E$2000,Historie!$A$2:$A$2000,A19,Historie!$B$2:$B$2000,B19,Historie!$E$2:$E$2000,"&lt;&gt;"),_xludf.maxifs(Historie!$E$2:$E$2000,Historie!$A$2:$A$2000,A19,Historie!$E$2:$E$2000,"&lt;&gt;")),"M"),0))</f>
        <v/>
      </c>
      <c r="M19" s="1" t="str">
        <f>IF(A19="","",IFERROR(IF(AND(Parametry!$B$39="ANO",B19&lt;&gt;""),AVERAGEIFS(Historie!$C$2:$C$2000,Historie!$A$2:$A$2000,A19,Historie!$B$2:$B$2000,B19,Historie!$E$2:$E$2000,"&lt;&gt;"),AVERAGEIFS(Historie!$C$2:$C$2000,Historie!$A$2:$A$2000,A19,Historie!$E$2:$E$2000,"&lt;&gt;")),""))</f>
        <v/>
      </c>
      <c r="N19" t="str">
        <f t="shared" ca="1" si="0"/>
        <v/>
      </c>
      <c r="O19" t="str">
        <f t="shared" si="1"/>
        <v/>
      </c>
      <c r="P19" t="str">
        <f t="shared" si="2"/>
        <v/>
      </c>
      <c r="Q19" s="26" t="str">
        <f t="shared" si="3"/>
        <v/>
      </c>
      <c r="R19" t="str">
        <f>IF(OR(A19="",E19=""),"",IF(I19&gt;=Parametry!$B$4,Parametry!$B$9,0))</f>
        <v/>
      </c>
      <c r="S19" t="str">
        <f>IF(OR(A19="",E19=""),"",IF(I19&gt;0,IF(J19&lt;=Parametry!$B$5,Parametry!$B$10,0),0))</f>
        <v/>
      </c>
      <c r="T19" t="str">
        <f>IF(OR(A19="",E19=""),"",IF(I19&gt;0,IF(K19&lt;=Parametry!$B$6,Parametry!$B$11,0),0))</f>
        <v/>
      </c>
      <c r="U19" t="str">
        <f>IF(OR(A19="",E19=""),"",IF(L19&gt;=Parametry!$B$7,Parametry!$B$12,0))</f>
        <v/>
      </c>
      <c r="V19" t="str">
        <f>IF(OR(A19="",E19=""),"",IF(M19&gt;0,IF(Q19&lt;=Parametry!$B$8,Parametry!$B$13,0),0))</f>
        <v/>
      </c>
      <c r="W19" t="str">
        <f>IF(OR(A19="",E19=""),"",IF(P19="ANO",Parametry!$B$14,0))</f>
        <v/>
      </c>
      <c r="X19" t="str">
        <f>IF(OR(A19="",E19=""),"",IF(G19="ANO",Parametry!$B$15,0))</f>
        <v/>
      </c>
      <c r="Y19" t="str">
        <f>IF(OR(A19="",E19=""),"",IF(H19="ANO",Parametry!$B$16,0))</f>
        <v/>
      </c>
      <c r="Z19" t="str">
        <f t="shared" si="4"/>
        <v/>
      </c>
      <c r="AA19" t="str">
        <f>IF(Z19="","",IF(AW19="STOP","Stop",IF(AW19="MANUAL",IF(Z19&gt;=Parametry!$B$19,"Watchlist","Stop"),IF(Z19&gt;=Parametry!$B$17,"Nízké riziko",IF(Z19&gt;=Parametry!$B$18,"Střední riziko",IF(Z19&gt;=Parametry!$B$19,"Watchlist","Stop"))))))</f>
        <v/>
      </c>
      <c r="AB19" s="17" t="str">
        <f>IF(AA19="","",MIN(IF(AA19="Nízké riziko",Parametry!$B$20,IF(AA19="Střední riziko",Parametry!$B$21,IF(AA19="Watchlist",Parametry!$B$22,Parametry!$B$23))),IFERROR(INDEX(Ciselniky!$H$3:$H$10,MATCH(AT19,Ciselniky!$F$3:$F$10,0)),0)))</f>
        <v/>
      </c>
      <c r="AC19" s="17" t="str">
        <f>IF(AA19="","",IF(AA19="Stop",0,IF(AA19="Nízké riziko",Parametry!$B$24,IF(AA19="Střední riziko",Parametry!$B$25,IF(AA19="Watchlist",Parametry!$B$26,0)))+IFERROR(INDEX(Ciselniky!$I$3:$I$10,MATCH(AT19,Ciselniky!$F$3:$F$10,0)),0)))</f>
        <v/>
      </c>
      <c r="AD19" t="str">
        <f t="shared" si="5"/>
        <v/>
      </c>
      <c r="AE19">
        <f t="shared" si="6"/>
        <v>0</v>
      </c>
      <c r="AF19">
        <f t="shared" si="7"/>
        <v>0</v>
      </c>
      <c r="AG19">
        <f>Parametry!$B$28</f>
        <v>5800000</v>
      </c>
      <c r="AH19" s="17" t="str">
        <f t="shared" si="8"/>
        <v/>
      </c>
      <c r="AI19" s="17">
        <f>IFERROR(AF19/Parametry!$B$28,"")</f>
        <v>0</v>
      </c>
      <c r="AJ19" s="17">
        <f>IFERROR(AE19/Parametry!$B$28,"")</f>
        <v>0</v>
      </c>
      <c r="AK19" t="str">
        <f>IF(OR(A19="",E19=""),"",MAX(0,100-IF(Parametry!$B$27="early",0.5,IF(Parametry!$B$27="growth",0.75,1))*(IF(AI19&lt;=Parametry!$B$34,0,IF(AI19&lt;=Parametry!$B$34+0.05,8,20))+IF(AH19&lt;=Parametry!$B$35,0,12)+IF(AJ19&lt;=Parametry!$B$36,0,12))))</f>
        <v/>
      </c>
      <c r="AL19" t="str">
        <f>IF(OR(A19="",E19=""),"",IF(Parametry!$B$27="early",IF(OR(AI19&gt;Parametry!$B$34*1.2,AH19&gt;Parametry!$B$35*1.3),"EARLY STAGE EXCEPTION","OK"),IF(Parametry!$B$27="growth",IF(OR(AI19&gt;Parametry!$B$34*1.35,AH19&gt;Parametry!$B$35*1.4),"RED FLAG","OK"),IF(OR(AI19&gt;Parametry!$B$34*1.2,AH19&gt;Parametry!$B$35*1.3),"RED FLAG","OK"))))</f>
        <v/>
      </c>
      <c r="AM19" t="str">
        <f>IF(OR(A19="",E19=""),"",IF(COUNTIF($A$6:A19,A19)=1,AF19,""))</f>
        <v/>
      </c>
      <c r="AN19" t="str">
        <f t="shared" si="9"/>
        <v/>
      </c>
      <c r="AO19" t="str">
        <f t="shared" si="10"/>
        <v/>
      </c>
      <c r="AP19" t="str">
        <f t="shared" si="11"/>
        <v/>
      </c>
      <c r="AQ19" s="14" t="str">
        <f t="shared" si="12"/>
        <v/>
      </c>
      <c r="AR19" t="str">
        <f t="shared" si="13"/>
        <v/>
      </c>
      <c r="AS19" t="str">
        <f t="shared" si="14"/>
        <v/>
      </c>
      <c r="AT19" s="23" t="str">
        <f>IF(A19="","",IF(COUNTIF(Ciselniky!$L$3:$L$200,A19)=0,"NR",IF(INDEX(Ciselniky!$M$3:$M$200,MATCH(A19,Ciselniky!$L$3:$L$200,0))="","NR",INDEX(Ciselniky!$M$3:$M$200,MATCH(A19,Ciselniky!$L$3:$L$200,0)))))</f>
        <v/>
      </c>
      <c r="AU19" t="str">
        <f>IF(A19="","",IF(AT19="NR","doplňit rating v Ciselniky",IFERROR(IF(INDEX(Ciselniky!$N$3:$N$200,MATCH(A19,Ciselniky!$L$3:$L$200,0))="","anchor master",INDEX(Ciselniky!$N$3:$N$200,MATCH(A19,Ciselniky!$L$3:$L$200,0))),"anchor master")))</f>
        <v/>
      </c>
      <c r="AV19" s="14" t="str">
        <f>IF(AT19="","",IFERROR(INDEX(Ciselniky!$G$3:$G$10,MATCH(AT19,Ciselniky!$F$3:$F$10,0)),0))</f>
        <v/>
      </c>
      <c r="AW19" t="str">
        <f>IF(AT19="","",IFERROR(INDEX(Ciselniky!$J$3:$J$10,MATCH(AT19,Ciselniky!$F$3:$F$10,0)),"MANUAL"))</f>
        <v/>
      </c>
      <c r="AX19" s="14" t="str">
        <f t="shared" si="15"/>
        <v/>
      </c>
      <c r="AY19" s="27" t="str">
        <f>IF(OR(A19="",E19=""),"",AV19*Parametry!$B$41)</f>
        <v/>
      </c>
      <c r="AZ19" s="27" t="str">
        <f>IF(OR(A19="",E19=""),"",AX19*Parametry!$B$42)</f>
        <v/>
      </c>
      <c r="BA19" s="27" t="str">
        <f>IF(OR(A19="",E19=""),"",AK19*Parametry!$B$43)</f>
        <v/>
      </c>
      <c r="BB19" s="14" t="str">
        <f>IF(OR(A19="",E19=""),"",IF(AW19="STOP",-100,IF(AT19="BB",Parametry!$B$47,IF(AT19="NR",Parametry!$B$48,0))))</f>
        <v/>
      </c>
    </row>
    <row r="20" spans="1:54" ht="21.75" customHeight="1" x14ac:dyDescent="0.2">
      <c r="A20" s="23"/>
      <c r="B20" s="23"/>
      <c r="C20" s="23"/>
      <c r="D20" s="23"/>
      <c r="E20" s="23"/>
      <c r="F20" s="23"/>
      <c r="G20" s="23"/>
      <c r="H20" s="23"/>
      <c r="I20" t="str">
        <f>IF(A20="","",IF(AND(Parametry!$B$39="ANO",B20&lt;&gt;""),COUNTIFS(Historie!$A$2:$A$2000,A20,Historie!$B$2:$B$2000,B20,Historie!$E$2:$E$2000,"&lt;&gt;"),COUNTIFS(Historie!$A$2:$A$2000,A20,Historie!$E$2:$E$2000,"&lt;&gt;")))</f>
        <v/>
      </c>
      <c r="J20" s="14" t="str">
        <f>IF(I20=0,"",IFERROR(IF(AND(Parametry!$B$39="ANO",B20&lt;&gt;""),AVERAGEIFS(Historie!$F$2:$F$2000,Historie!$A$2:$A$2000,A20,Historie!$B$2:$B$2000,B20,Historie!$E$2:$E$2000,"&lt;&gt;"),AVERAGEIFS(Historie!$F$2:$F$2000,Historie!$A$2:$A$2000,A20,Historie!$E$2:$E$2000,"&lt;&gt;")),""))</f>
        <v/>
      </c>
      <c r="K20" s="25">
        <f>IF(I20=0,"",IFERROR(IF(AND(Parametry!$B$39="ANO",B20&lt;&gt;""),COUNTIFS(Historie!$A$2:$A$2000,A20,Historie!$B$2:$B$2000,B20,Historie!$E$2:$E$2000,"&lt;&gt;",Historie!$F$2:$F$2000,"&gt;0")/I20,COUNTIFS(Historie!$A$2:$A$2000,A20,Historie!$E$2:$E$2000,"&lt;&gt;",Historie!$F$2:$F$2000,"&gt;0")/I20),0))</f>
        <v>0</v>
      </c>
      <c r="L20" t="str">
        <f>IF(OR(A20="",I20=0),"",IFERROR(DATEDIF(IF(AND(Parametry!$B$39="ANO",B20&lt;&gt;""),_xludf.minifs(Historie!$E$2:$E$2000,Historie!$A$2:$A$2000,A20,Historie!$B$2:$B$2000,B20,Historie!$E$2:$E$2000,"&lt;&gt;"),_xludf.minifs(Historie!$E$2:$E$2000,Historie!$A$2:$A$2000,A20,Historie!$E$2:$E$2000,"&lt;&gt;")),IF(AND(Parametry!$B$39="ANO",B20&lt;&gt;""),_xludf.maxifs(Historie!$E$2:$E$2000,Historie!$A$2:$A$2000,A20,Historie!$B$2:$B$2000,B20,Historie!$E$2:$E$2000,"&lt;&gt;"),_xludf.maxifs(Historie!$E$2:$E$2000,Historie!$A$2:$A$2000,A20,Historie!$E$2:$E$2000,"&lt;&gt;")),"M"),0))</f>
        <v/>
      </c>
      <c r="M20" s="1" t="str">
        <f>IF(A20="","",IFERROR(IF(AND(Parametry!$B$39="ANO",B20&lt;&gt;""),AVERAGEIFS(Historie!$C$2:$C$2000,Historie!$A$2:$A$2000,A20,Historie!$B$2:$B$2000,B20,Historie!$E$2:$E$2000,"&lt;&gt;"),AVERAGEIFS(Historie!$C$2:$C$2000,Historie!$A$2:$A$2000,A20,Historie!$E$2:$E$2000,"&lt;&gt;")),""))</f>
        <v/>
      </c>
      <c r="N20" t="str">
        <f t="shared" ca="1" si="0"/>
        <v/>
      </c>
      <c r="O20" t="str">
        <f t="shared" si="1"/>
        <v/>
      </c>
      <c r="P20" t="str">
        <f t="shared" si="2"/>
        <v/>
      </c>
      <c r="Q20" s="26" t="str">
        <f t="shared" si="3"/>
        <v/>
      </c>
      <c r="R20" t="str">
        <f>IF(OR(A20="",E20=""),"",IF(I20&gt;=Parametry!$B$4,Parametry!$B$9,0))</f>
        <v/>
      </c>
      <c r="S20" t="str">
        <f>IF(OR(A20="",E20=""),"",IF(I20&gt;0,IF(J20&lt;=Parametry!$B$5,Parametry!$B$10,0),0))</f>
        <v/>
      </c>
      <c r="T20" t="str">
        <f>IF(OR(A20="",E20=""),"",IF(I20&gt;0,IF(K20&lt;=Parametry!$B$6,Parametry!$B$11,0),0))</f>
        <v/>
      </c>
      <c r="U20" t="str">
        <f>IF(OR(A20="",E20=""),"",IF(L20&gt;=Parametry!$B$7,Parametry!$B$12,0))</f>
        <v/>
      </c>
      <c r="V20" t="str">
        <f>IF(OR(A20="",E20=""),"",IF(M20&gt;0,IF(Q20&lt;=Parametry!$B$8,Parametry!$B$13,0),0))</f>
        <v/>
      </c>
      <c r="W20" t="str">
        <f>IF(OR(A20="",E20=""),"",IF(P20="ANO",Parametry!$B$14,0))</f>
        <v/>
      </c>
      <c r="X20" t="str">
        <f>IF(OR(A20="",E20=""),"",IF(G20="ANO",Parametry!$B$15,0))</f>
        <v/>
      </c>
      <c r="Y20" t="str">
        <f>IF(OR(A20="",E20=""),"",IF(H20="ANO",Parametry!$B$16,0))</f>
        <v/>
      </c>
      <c r="Z20" t="str">
        <f t="shared" si="4"/>
        <v/>
      </c>
      <c r="AA20" t="str">
        <f>IF(Z20="","",IF(AW20="STOP","Stop",IF(AW20="MANUAL",IF(Z20&gt;=Parametry!$B$19,"Watchlist","Stop"),IF(Z20&gt;=Parametry!$B$17,"Nízké riziko",IF(Z20&gt;=Parametry!$B$18,"Střední riziko",IF(Z20&gt;=Parametry!$B$19,"Watchlist","Stop"))))))</f>
        <v/>
      </c>
      <c r="AB20" s="17" t="str">
        <f>IF(AA20="","",MIN(IF(AA20="Nízké riziko",Parametry!$B$20,IF(AA20="Střední riziko",Parametry!$B$21,IF(AA20="Watchlist",Parametry!$B$22,Parametry!$B$23))),IFERROR(INDEX(Ciselniky!$H$3:$H$10,MATCH(AT20,Ciselniky!$F$3:$F$10,0)),0)))</f>
        <v/>
      </c>
      <c r="AC20" s="17" t="str">
        <f>IF(AA20="","",IF(AA20="Stop",0,IF(AA20="Nízké riziko",Parametry!$B$24,IF(AA20="Střední riziko",Parametry!$B$25,IF(AA20="Watchlist",Parametry!$B$26,0)))+IFERROR(INDEX(Ciselniky!$I$3:$I$10,MATCH(AT20,Ciselniky!$F$3:$F$10,0)),0)))</f>
        <v/>
      </c>
      <c r="AD20" t="str">
        <f t="shared" si="5"/>
        <v/>
      </c>
      <c r="AE20">
        <f t="shared" si="6"/>
        <v>0</v>
      </c>
      <c r="AF20">
        <f t="shared" si="7"/>
        <v>0</v>
      </c>
      <c r="AG20">
        <f>Parametry!$B$28</f>
        <v>5800000</v>
      </c>
      <c r="AH20" s="17" t="str">
        <f t="shared" si="8"/>
        <v/>
      </c>
      <c r="AI20" s="17">
        <f>IFERROR(AF20/Parametry!$B$28,"")</f>
        <v>0</v>
      </c>
      <c r="AJ20" s="17">
        <f>IFERROR(AE20/Parametry!$B$28,"")</f>
        <v>0</v>
      </c>
      <c r="AK20" t="str">
        <f>IF(OR(A20="",E20=""),"",MAX(0,100-IF(Parametry!$B$27="early",0.5,IF(Parametry!$B$27="growth",0.75,1))*(IF(AI20&lt;=Parametry!$B$34,0,IF(AI20&lt;=Parametry!$B$34+0.05,8,20))+IF(AH20&lt;=Parametry!$B$35,0,12)+IF(AJ20&lt;=Parametry!$B$36,0,12))))</f>
        <v/>
      </c>
      <c r="AL20" t="str">
        <f>IF(OR(A20="",E20=""),"",IF(Parametry!$B$27="early",IF(OR(AI20&gt;Parametry!$B$34*1.2,AH20&gt;Parametry!$B$35*1.3),"EARLY STAGE EXCEPTION","OK"),IF(Parametry!$B$27="growth",IF(OR(AI20&gt;Parametry!$B$34*1.35,AH20&gt;Parametry!$B$35*1.4),"RED FLAG","OK"),IF(OR(AI20&gt;Parametry!$B$34*1.2,AH20&gt;Parametry!$B$35*1.3),"RED FLAG","OK"))))</f>
        <v/>
      </c>
      <c r="AM20" t="str">
        <f>IF(OR(A20="",E20=""),"",IF(COUNTIF($A$6:A20,A20)=1,AF20,""))</f>
        <v/>
      </c>
      <c r="AN20" t="str">
        <f t="shared" si="9"/>
        <v/>
      </c>
      <c r="AO20" t="str">
        <f t="shared" si="10"/>
        <v/>
      </c>
      <c r="AP20" t="str">
        <f t="shared" si="11"/>
        <v/>
      </c>
      <c r="AQ20" s="14" t="str">
        <f t="shared" si="12"/>
        <v/>
      </c>
      <c r="AR20" t="str">
        <f t="shared" si="13"/>
        <v/>
      </c>
      <c r="AS20" t="str">
        <f t="shared" si="14"/>
        <v/>
      </c>
      <c r="AT20" s="23" t="str">
        <f>IF(A20="","",IF(COUNTIF(Ciselniky!$L$3:$L$200,A20)=0,"NR",IF(INDEX(Ciselniky!$M$3:$M$200,MATCH(A20,Ciselniky!$L$3:$L$200,0))="","NR",INDEX(Ciselniky!$M$3:$M$200,MATCH(A20,Ciselniky!$L$3:$L$200,0)))))</f>
        <v/>
      </c>
      <c r="AU20" t="str">
        <f>IF(A20="","",IF(AT20="NR","doplňit rating v Ciselniky",IFERROR(IF(INDEX(Ciselniky!$N$3:$N$200,MATCH(A20,Ciselniky!$L$3:$L$200,0))="","anchor master",INDEX(Ciselniky!$N$3:$N$200,MATCH(A20,Ciselniky!$L$3:$L$200,0))),"anchor master")))</f>
        <v/>
      </c>
      <c r="AV20" s="14" t="str">
        <f>IF(AT20="","",IFERROR(INDEX(Ciselniky!$G$3:$G$10,MATCH(AT20,Ciselniky!$F$3:$F$10,0)),0))</f>
        <v/>
      </c>
      <c r="AW20" t="str">
        <f>IF(AT20="","",IFERROR(INDEX(Ciselniky!$J$3:$J$10,MATCH(AT20,Ciselniky!$F$3:$F$10,0)),"MANUAL"))</f>
        <v/>
      </c>
      <c r="AX20" s="14" t="str">
        <f t="shared" si="15"/>
        <v/>
      </c>
      <c r="AY20" s="27" t="str">
        <f>IF(OR(A20="",E20=""),"",AV20*Parametry!$B$41)</f>
        <v/>
      </c>
      <c r="AZ20" s="27" t="str">
        <f>IF(OR(A20="",E20=""),"",AX20*Parametry!$B$42)</f>
        <v/>
      </c>
      <c r="BA20" s="27" t="str">
        <f>IF(OR(A20="",E20=""),"",AK20*Parametry!$B$43)</f>
        <v/>
      </c>
      <c r="BB20" s="14" t="str">
        <f>IF(OR(A20="",E20=""),"",IF(AW20="STOP",-100,IF(AT20="BB",Parametry!$B$47,IF(AT20="NR",Parametry!$B$48,0))))</f>
        <v/>
      </c>
    </row>
    <row r="21" spans="1:54" ht="21.75" customHeight="1" x14ac:dyDescent="0.2">
      <c r="A21" s="23"/>
      <c r="B21" s="23"/>
      <c r="C21" s="23"/>
      <c r="D21" s="23"/>
      <c r="E21" s="23"/>
      <c r="F21" s="23"/>
      <c r="G21" s="23"/>
      <c r="H21" s="23"/>
      <c r="I21" t="str">
        <f>IF(A21="","",IF(AND(Parametry!$B$39="ANO",B21&lt;&gt;""),COUNTIFS(Historie!$A$2:$A$2000,A21,Historie!$B$2:$B$2000,B21,Historie!$E$2:$E$2000,"&lt;&gt;"),COUNTIFS(Historie!$A$2:$A$2000,A21,Historie!$E$2:$E$2000,"&lt;&gt;")))</f>
        <v/>
      </c>
      <c r="J21" s="14" t="str">
        <f>IF(I21=0,"",IFERROR(IF(AND(Parametry!$B$39="ANO",B21&lt;&gt;""),AVERAGEIFS(Historie!$F$2:$F$2000,Historie!$A$2:$A$2000,A21,Historie!$B$2:$B$2000,B21,Historie!$E$2:$E$2000,"&lt;&gt;"),AVERAGEIFS(Historie!$F$2:$F$2000,Historie!$A$2:$A$2000,A21,Historie!$E$2:$E$2000,"&lt;&gt;")),""))</f>
        <v/>
      </c>
      <c r="K21" s="25">
        <f>IF(I21=0,"",IFERROR(IF(AND(Parametry!$B$39="ANO",B21&lt;&gt;""),COUNTIFS(Historie!$A$2:$A$2000,A21,Historie!$B$2:$B$2000,B21,Historie!$E$2:$E$2000,"&lt;&gt;",Historie!$F$2:$F$2000,"&gt;0")/I21,COUNTIFS(Historie!$A$2:$A$2000,A21,Historie!$E$2:$E$2000,"&lt;&gt;",Historie!$F$2:$F$2000,"&gt;0")/I21),0))</f>
        <v>0</v>
      </c>
      <c r="L21" t="str">
        <f>IF(OR(A21="",I21=0),"",IFERROR(DATEDIF(IF(AND(Parametry!$B$39="ANO",B21&lt;&gt;""),_xludf.minifs(Historie!$E$2:$E$2000,Historie!$A$2:$A$2000,A21,Historie!$B$2:$B$2000,B21,Historie!$E$2:$E$2000,"&lt;&gt;"),_xludf.minifs(Historie!$E$2:$E$2000,Historie!$A$2:$A$2000,A21,Historie!$E$2:$E$2000,"&lt;&gt;")),IF(AND(Parametry!$B$39="ANO",B21&lt;&gt;""),_xludf.maxifs(Historie!$E$2:$E$2000,Historie!$A$2:$A$2000,A21,Historie!$B$2:$B$2000,B21,Historie!$E$2:$E$2000,"&lt;&gt;"),_xludf.maxifs(Historie!$E$2:$E$2000,Historie!$A$2:$A$2000,A21,Historie!$E$2:$E$2000,"&lt;&gt;")),"M"),0))</f>
        <v/>
      </c>
      <c r="M21" s="1" t="str">
        <f>IF(A21="","",IFERROR(IF(AND(Parametry!$B$39="ANO",B21&lt;&gt;""),AVERAGEIFS(Historie!$C$2:$C$2000,Historie!$A$2:$A$2000,A21,Historie!$B$2:$B$2000,B21,Historie!$E$2:$E$2000,"&lt;&gt;"),AVERAGEIFS(Historie!$C$2:$C$2000,Historie!$A$2:$A$2000,A21,Historie!$E$2:$E$2000,"&lt;&gt;")),""))</f>
        <v/>
      </c>
      <c r="N21" t="str">
        <f t="shared" ca="1" si="0"/>
        <v/>
      </c>
      <c r="O21" t="str">
        <f t="shared" si="1"/>
        <v/>
      </c>
      <c r="P21" t="str">
        <f t="shared" si="2"/>
        <v/>
      </c>
      <c r="Q21" s="26" t="str">
        <f t="shared" si="3"/>
        <v/>
      </c>
      <c r="R21" t="str">
        <f>IF(OR(A21="",E21=""),"",IF(I21&gt;=Parametry!$B$4,Parametry!$B$9,0))</f>
        <v/>
      </c>
      <c r="S21" t="str">
        <f>IF(OR(A21="",E21=""),"",IF(I21&gt;0,IF(J21&lt;=Parametry!$B$5,Parametry!$B$10,0),0))</f>
        <v/>
      </c>
      <c r="T21" t="str">
        <f>IF(OR(A21="",E21=""),"",IF(I21&gt;0,IF(K21&lt;=Parametry!$B$6,Parametry!$B$11,0),0))</f>
        <v/>
      </c>
      <c r="U21" t="str">
        <f>IF(OR(A21="",E21=""),"",IF(L21&gt;=Parametry!$B$7,Parametry!$B$12,0))</f>
        <v/>
      </c>
      <c r="V21" t="str">
        <f>IF(OR(A21="",E21=""),"",IF(M21&gt;0,IF(Q21&lt;=Parametry!$B$8,Parametry!$B$13,0),0))</f>
        <v/>
      </c>
      <c r="W21" t="str">
        <f>IF(OR(A21="",E21=""),"",IF(P21="ANO",Parametry!$B$14,0))</f>
        <v/>
      </c>
      <c r="X21" t="str">
        <f>IF(OR(A21="",E21=""),"",IF(G21="ANO",Parametry!$B$15,0))</f>
        <v/>
      </c>
      <c r="Y21" t="str">
        <f>IF(OR(A21="",E21=""),"",IF(H21="ANO",Parametry!$B$16,0))</f>
        <v/>
      </c>
      <c r="Z21" t="str">
        <f t="shared" si="4"/>
        <v/>
      </c>
      <c r="AA21" t="str">
        <f>IF(Z21="","",IF(AW21="STOP","Stop",IF(AW21="MANUAL",IF(Z21&gt;=Parametry!$B$19,"Watchlist","Stop"),IF(Z21&gt;=Parametry!$B$17,"Nízké riziko",IF(Z21&gt;=Parametry!$B$18,"Střední riziko",IF(Z21&gt;=Parametry!$B$19,"Watchlist","Stop"))))))</f>
        <v/>
      </c>
      <c r="AB21" s="17" t="str">
        <f>IF(AA21="","",MIN(IF(AA21="Nízké riziko",Parametry!$B$20,IF(AA21="Střední riziko",Parametry!$B$21,IF(AA21="Watchlist",Parametry!$B$22,Parametry!$B$23))),IFERROR(INDEX(Ciselniky!$H$3:$H$10,MATCH(AT21,Ciselniky!$F$3:$F$10,0)),0)))</f>
        <v/>
      </c>
      <c r="AC21" s="17" t="str">
        <f>IF(AA21="","",IF(AA21="Stop",0,IF(AA21="Nízké riziko",Parametry!$B$24,IF(AA21="Střední riziko",Parametry!$B$25,IF(AA21="Watchlist",Parametry!$B$26,0)))+IFERROR(INDEX(Ciselniky!$I$3:$I$10,MATCH(AT21,Ciselniky!$F$3:$F$10,0)),0)))</f>
        <v/>
      </c>
      <c r="AD21" t="str">
        <f t="shared" si="5"/>
        <v/>
      </c>
      <c r="AE21">
        <f t="shared" si="6"/>
        <v>0</v>
      </c>
      <c r="AF21">
        <f t="shared" si="7"/>
        <v>0</v>
      </c>
      <c r="AG21">
        <f>Parametry!$B$28</f>
        <v>5800000</v>
      </c>
      <c r="AH21" s="17" t="str">
        <f t="shared" si="8"/>
        <v/>
      </c>
      <c r="AI21" s="17">
        <f>IFERROR(AF21/Parametry!$B$28,"")</f>
        <v>0</v>
      </c>
      <c r="AJ21" s="17">
        <f>IFERROR(AE21/Parametry!$B$28,"")</f>
        <v>0</v>
      </c>
      <c r="AK21" t="str">
        <f>IF(OR(A21="",E21=""),"",MAX(0,100-IF(Parametry!$B$27="early",0.5,IF(Parametry!$B$27="growth",0.75,1))*(IF(AI21&lt;=Parametry!$B$34,0,IF(AI21&lt;=Parametry!$B$34+0.05,8,20))+IF(AH21&lt;=Parametry!$B$35,0,12)+IF(AJ21&lt;=Parametry!$B$36,0,12))))</f>
        <v/>
      </c>
      <c r="AL21" t="str">
        <f>IF(OR(A21="",E21=""),"",IF(Parametry!$B$27="early",IF(OR(AI21&gt;Parametry!$B$34*1.2,AH21&gt;Parametry!$B$35*1.3),"EARLY STAGE EXCEPTION","OK"),IF(Parametry!$B$27="growth",IF(OR(AI21&gt;Parametry!$B$34*1.35,AH21&gt;Parametry!$B$35*1.4),"RED FLAG","OK"),IF(OR(AI21&gt;Parametry!$B$34*1.2,AH21&gt;Parametry!$B$35*1.3),"RED FLAG","OK"))))</f>
        <v/>
      </c>
      <c r="AM21" t="str">
        <f>IF(OR(A21="",E21=""),"",IF(COUNTIF($A$6:A21,A21)=1,AF21,""))</f>
        <v/>
      </c>
      <c r="AN21" t="str">
        <f t="shared" si="9"/>
        <v/>
      </c>
      <c r="AO21" t="str">
        <f t="shared" si="10"/>
        <v/>
      </c>
      <c r="AP21" t="str">
        <f t="shared" si="11"/>
        <v/>
      </c>
      <c r="AQ21" s="14" t="str">
        <f t="shared" si="12"/>
        <v/>
      </c>
      <c r="AR21" t="str">
        <f t="shared" si="13"/>
        <v/>
      </c>
      <c r="AS21" t="str">
        <f t="shared" si="14"/>
        <v/>
      </c>
      <c r="AT21" s="23" t="str">
        <f>IF(A21="","",IF(COUNTIF(Ciselniky!$L$3:$L$200,A21)=0,"NR",IF(INDEX(Ciselniky!$M$3:$M$200,MATCH(A21,Ciselniky!$L$3:$L$200,0))="","NR",INDEX(Ciselniky!$M$3:$M$200,MATCH(A21,Ciselniky!$L$3:$L$200,0)))))</f>
        <v/>
      </c>
      <c r="AU21" t="str">
        <f>IF(A21="","",IF(AT21="NR","doplňit rating v Ciselniky",IFERROR(IF(INDEX(Ciselniky!$N$3:$N$200,MATCH(A21,Ciselniky!$L$3:$L$200,0))="","anchor master",INDEX(Ciselniky!$N$3:$N$200,MATCH(A21,Ciselniky!$L$3:$L$200,0))),"anchor master")))</f>
        <v/>
      </c>
      <c r="AV21" s="14" t="str">
        <f>IF(AT21="","",IFERROR(INDEX(Ciselniky!$G$3:$G$10,MATCH(AT21,Ciselniky!$F$3:$F$10,0)),0))</f>
        <v/>
      </c>
      <c r="AW21" t="str">
        <f>IF(AT21="","",IFERROR(INDEX(Ciselniky!$J$3:$J$10,MATCH(AT21,Ciselniky!$F$3:$F$10,0)),"MANUAL"))</f>
        <v/>
      </c>
      <c r="AX21" s="14" t="str">
        <f t="shared" si="15"/>
        <v/>
      </c>
      <c r="AY21" s="27" t="str">
        <f>IF(OR(A21="",E21=""),"",AV21*Parametry!$B$41)</f>
        <v/>
      </c>
      <c r="AZ21" s="27" t="str">
        <f>IF(OR(A21="",E21=""),"",AX21*Parametry!$B$42)</f>
        <v/>
      </c>
      <c r="BA21" s="27" t="str">
        <f>IF(OR(A21="",E21=""),"",AK21*Parametry!$B$43)</f>
        <v/>
      </c>
      <c r="BB21" s="14" t="str">
        <f>IF(OR(A21="",E21=""),"",IF(AW21="STOP",-100,IF(AT21="BB",Parametry!$B$47,IF(AT21="NR",Parametry!$B$48,0))))</f>
        <v/>
      </c>
    </row>
    <row r="22" spans="1:54" ht="21.75" customHeight="1" x14ac:dyDescent="0.2">
      <c r="A22" s="23"/>
      <c r="B22" s="23"/>
      <c r="C22" s="23"/>
      <c r="D22" s="23"/>
      <c r="E22" s="23"/>
      <c r="F22" s="23"/>
      <c r="G22" s="23"/>
      <c r="H22" s="23"/>
      <c r="I22" t="str">
        <f>IF(A22="","",IF(AND(Parametry!$B$39="ANO",B22&lt;&gt;""),COUNTIFS(Historie!$A$2:$A$2000,A22,Historie!$B$2:$B$2000,B22,Historie!$E$2:$E$2000,"&lt;&gt;"),COUNTIFS(Historie!$A$2:$A$2000,A22,Historie!$E$2:$E$2000,"&lt;&gt;")))</f>
        <v/>
      </c>
      <c r="J22" s="14" t="str">
        <f>IF(I22=0,"",IFERROR(IF(AND(Parametry!$B$39="ANO",B22&lt;&gt;""),AVERAGEIFS(Historie!$F$2:$F$2000,Historie!$A$2:$A$2000,A22,Historie!$B$2:$B$2000,B22,Historie!$E$2:$E$2000,"&lt;&gt;"),AVERAGEIFS(Historie!$F$2:$F$2000,Historie!$A$2:$A$2000,A22,Historie!$E$2:$E$2000,"&lt;&gt;")),""))</f>
        <v/>
      </c>
      <c r="K22" s="25">
        <f>IF(I22=0,"",IFERROR(IF(AND(Parametry!$B$39="ANO",B22&lt;&gt;""),COUNTIFS(Historie!$A$2:$A$2000,A22,Historie!$B$2:$B$2000,B22,Historie!$E$2:$E$2000,"&lt;&gt;",Historie!$F$2:$F$2000,"&gt;0")/I22,COUNTIFS(Historie!$A$2:$A$2000,A22,Historie!$E$2:$E$2000,"&lt;&gt;",Historie!$F$2:$F$2000,"&gt;0")/I22),0))</f>
        <v>0</v>
      </c>
      <c r="L22" t="str">
        <f>IF(OR(A22="",I22=0),"",IFERROR(DATEDIF(IF(AND(Parametry!$B$39="ANO",B22&lt;&gt;""),_xludf.minifs(Historie!$E$2:$E$2000,Historie!$A$2:$A$2000,A22,Historie!$B$2:$B$2000,B22,Historie!$E$2:$E$2000,"&lt;&gt;"),_xludf.minifs(Historie!$E$2:$E$2000,Historie!$A$2:$A$2000,A22,Historie!$E$2:$E$2000,"&lt;&gt;")),IF(AND(Parametry!$B$39="ANO",B22&lt;&gt;""),_xludf.maxifs(Historie!$E$2:$E$2000,Historie!$A$2:$A$2000,A22,Historie!$B$2:$B$2000,B22,Historie!$E$2:$E$2000,"&lt;&gt;"),_xludf.maxifs(Historie!$E$2:$E$2000,Historie!$A$2:$A$2000,A22,Historie!$E$2:$E$2000,"&lt;&gt;")),"M"),0))</f>
        <v/>
      </c>
      <c r="M22" s="1" t="str">
        <f>IF(A22="","",IFERROR(IF(AND(Parametry!$B$39="ANO",B22&lt;&gt;""),AVERAGEIFS(Historie!$C$2:$C$2000,Historie!$A$2:$A$2000,A22,Historie!$B$2:$B$2000,B22,Historie!$E$2:$E$2000,"&lt;&gt;"),AVERAGEIFS(Historie!$C$2:$C$2000,Historie!$A$2:$A$2000,A22,Historie!$E$2:$E$2000,"&lt;&gt;")),""))</f>
        <v/>
      </c>
      <c r="N22" t="str">
        <f t="shared" ca="1" si="0"/>
        <v/>
      </c>
      <c r="O22" t="str">
        <f t="shared" si="1"/>
        <v/>
      </c>
      <c r="P22" t="str">
        <f t="shared" si="2"/>
        <v/>
      </c>
      <c r="Q22" s="26" t="str">
        <f t="shared" si="3"/>
        <v/>
      </c>
      <c r="R22" t="str">
        <f>IF(OR(A22="",E22=""),"",IF(I22&gt;=Parametry!$B$4,Parametry!$B$9,0))</f>
        <v/>
      </c>
      <c r="S22" t="str">
        <f>IF(OR(A22="",E22=""),"",IF(I22&gt;0,IF(J22&lt;=Parametry!$B$5,Parametry!$B$10,0),0))</f>
        <v/>
      </c>
      <c r="T22" t="str">
        <f>IF(OR(A22="",E22=""),"",IF(I22&gt;0,IF(K22&lt;=Parametry!$B$6,Parametry!$B$11,0),0))</f>
        <v/>
      </c>
      <c r="U22" t="str">
        <f>IF(OR(A22="",E22=""),"",IF(L22&gt;=Parametry!$B$7,Parametry!$B$12,0))</f>
        <v/>
      </c>
      <c r="V22" t="str">
        <f>IF(OR(A22="",E22=""),"",IF(M22&gt;0,IF(Q22&lt;=Parametry!$B$8,Parametry!$B$13,0),0))</f>
        <v/>
      </c>
      <c r="W22" t="str">
        <f>IF(OR(A22="",E22=""),"",IF(P22="ANO",Parametry!$B$14,0))</f>
        <v/>
      </c>
      <c r="X22" t="str">
        <f>IF(OR(A22="",E22=""),"",IF(G22="ANO",Parametry!$B$15,0))</f>
        <v/>
      </c>
      <c r="Y22" t="str">
        <f>IF(OR(A22="",E22=""),"",IF(H22="ANO",Parametry!$B$16,0))</f>
        <v/>
      </c>
      <c r="Z22" t="str">
        <f t="shared" si="4"/>
        <v/>
      </c>
      <c r="AA22" t="str">
        <f>IF(Z22="","",IF(AW22="STOP","Stop",IF(AW22="MANUAL",IF(Z22&gt;=Parametry!$B$19,"Watchlist","Stop"),IF(Z22&gt;=Parametry!$B$17,"Nízké riziko",IF(Z22&gt;=Parametry!$B$18,"Střední riziko",IF(Z22&gt;=Parametry!$B$19,"Watchlist","Stop"))))))</f>
        <v/>
      </c>
      <c r="AB22" s="17" t="str">
        <f>IF(AA22="","",MIN(IF(AA22="Nízké riziko",Parametry!$B$20,IF(AA22="Střední riziko",Parametry!$B$21,IF(AA22="Watchlist",Parametry!$B$22,Parametry!$B$23))),IFERROR(INDEX(Ciselniky!$H$3:$H$10,MATCH(AT22,Ciselniky!$F$3:$F$10,0)),0)))</f>
        <v/>
      </c>
      <c r="AC22" s="17" t="str">
        <f>IF(AA22="","",IF(AA22="Stop",0,IF(AA22="Nízké riziko",Parametry!$B$24,IF(AA22="Střední riziko",Parametry!$B$25,IF(AA22="Watchlist",Parametry!$B$26,0)))+IFERROR(INDEX(Ciselniky!$I$3:$I$10,MATCH(AT22,Ciselniky!$F$3:$F$10,0)),0)))</f>
        <v/>
      </c>
      <c r="AD22" t="str">
        <f t="shared" si="5"/>
        <v/>
      </c>
      <c r="AE22">
        <f t="shared" si="6"/>
        <v>0</v>
      </c>
      <c r="AF22">
        <f t="shared" si="7"/>
        <v>0</v>
      </c>
      <c r="AG22">
        <f>Parametry!$B$28</f>
        <v>5800000</v>
      </c>
      <c r="AH22" s="17" t="str">
        <f t="shared" si="8"/>
        <v/>
      </c>
      <c r="AI22" s="17">
        <f>IFERROR(AF22/Parametry!$B$28,"")</f>
        <v>0</v>
      </c>
      <c r="AJ22" s="17">
        <f>IFERROR(AE22/Parametry!$B$28,"")</f>
        <v>0</v>
      </c>
      <c r="AK22" t="str">
        <f>IF(OR(A22="",E22=""),"",MAX(0,100-IF(Parametry!$B$27="early",0.5,IF(Parametry!$B$27="growth",0.75,1))*(IF(AI22&lt;=Parametry!$B$34,0,IF(AI22&lt;=Parametry!$B$34+0.05,8,20))+IF(AH22&lt;=Parametry!$B$35,0,12)+IF(AJ22&lt;=Parametry!$B$36,0,12))))</f>
        <v/>
      </c>
      <c r="AL22" t="str">
        <f>IF(OR(A22="",E22=""),"",IF(Parametry!$B$27="early",IF(OR(AI22&gt;Parametry!$B$34*1.2,AH22&gt;Parametry!$B$35*1.3),"EARLY STAGE EXCEPTION","OK"),IF(Parametry!$B$27="growth",IF(OR(AI22&gt;Parametry!$B$34*1.35,AH22&gt;Parametry!$B$35*1.4),"RED FLAG","OK"),IF(OR(AI22&gt;Parametry!$B$34*1.2,AH22&gt;Parametry!$B$35*1.3),"RED FLAG","OK"))))</f>
        <v/>
      </c>
      <c r="AM22" t="str">
        <f>IF(OR(A22="",E22=""),"",IF(COUNTIF($A$6:A22,A22)=1,AF22,""))</f>
        <v/>
      </c>
      <c r="AN22" t="str">
        <f t="shared" si="9"/>
        <v/>
      </c>
      <c r="AO22" t="str">
        <f t="shared" si="10"/>
        <v/>
      </c>
      <c r="AP22" t="str">
        <f t="shared" si="11"/>
        <v/>
      </c>
      <c r="AQ22" s="14" t="str">
        <f t="shared" si="12"/>
        <v/>
      </c>
      <c r="AR22" t="str">
        <f t="shared" si="13"/>
        <v/>
      </c>
      <c r="AS22" t="str">
        <f t="shared" si="14"/>
        <v/>
      </c>
      <c r="AT22" s="23" t="str">
        <f>IF(A22="","",IF(COUNTIF(Ciselniky!$L$3:$L$200,A22)=0,"NR",IF(INDEX(Ciselniky!$M$3:$M$200,MATCH(A22,Ciselniky!$L$3:$L$200,0))="","NR",INDEX(Ciselniky!$M$3:$M$200,MATCH(A22,Ciselniky!$L$3:$L$200,0)))))</f>
        <v/>
      </c>
      <c r="AU22" t="str">
        <f>IF(A22="","",IF(AT22="NR","doplňit rating v Ciselniky",IFERROR(IF(INDEX(Ciselniky!$N$3:$N$200,MATCH(A22,Ciselniky!$L$3:$L$200,0))="","anchor master",INDEX(Ciselniky!$N$3:$N$200,MATCH(A22,Ciselniky!$L$3:$L$200,0))),"anchor master")))</f>
        <v/>
      </c>
      <c r="AV22" s="14" t="str">
        <f>IF(AT22="","",IFERROR(INDEX(Ciselniky!$G$3:$G$10,MATCH(AT22,Ciselniky!$F$3:$F$10,0)),0))</f>
        <v/>
      </c>
      <c r="AW22" t="str">
        <f>IF(AT22="","",IFERROR(INDEX(Ciselniky!$J$3:$J$10,MATCH(AT22,Ciselniky!$F$3:$F$10,0)),"MANUAL"))</f>
        <v/>
      </c>
      <c r="AX22" s="14" t="str">
        <f t="shared" si="15"/>
        <v/>
      </c>
      <c r="AY22" s="27" t="str">
        <f>IF(OR(A22="",E22=""),"",AV22*Parametry!$B$41)</f>
        <v/>
      </c>
      <c r="AZ22" s="27" t="str">
        <f>IF(OR(A22="",E22=""),"",AX22*Parametry!$B$42)</f>
        <v/>
      </c>
      <c r="BA22" s="27" t="str">
        <f>IF(OR(A22="",E22=""),"",AK22*Parametry!$B$43)</f>
        <v/>
      </c>
      <c r="BB22" s="14" t="str">
        <f>IF(OR(A22="",E22=""),"",IF(AW22="STOP",-100,IF(AT22="BB",Parametry!$B$47,IF(AT22="NR",Parametry!$B$48,0))))</f>
        <v/>
      </c>
    </row>
    <row r="23" spans="1:54" ht="21.75" customHeight="1" x14ac:dyDescent="0.2">
      <c r="A23" s="23"/>
      <c r="B23" s="23"/>
      <c r="C23" s="23"/>
      <c r="D23" s="23"/>
      <c r="E23" s="23"/>
      <c r="F23" s="23"/>
      <c r="G23" s="23"/>
      <c r="H23" s="23"/>
      <c r="I23" t="str">
        <f>IF(A23="","",IF(AND(Parametry!$B$39="ANO",B23&lt;&gt;""),COUNTIFS(Historie!$A$2:$A$2000,A23,Historie!$B$2:$B$2000,B23,Historie!$E$2:$E$2000,"&lt;&gt;"),COUNTIFS(Historie!$A$2:$A$2000,A23,Historie!$E$2:$E$2000,"&lt;&gt;")))</f>
        <v/>
      </c>
      <c r="J23" s="14" t="str">
        <f>IF(I23=0,"",IFERROR(IF(AND(Parametry!$B$39="ANO",B23&lt;&gt;""),AVERAGEIFS(Historie!$F$2:$F$2000,Historie!$A$2:$A$2000,A23,Historie!$B$2:$B$2000,B23,Historie!$E$2:$E$2000,"&lt;&gt;"),AVERAGEIFS(Historie!$F$2:$F$2000,Historie!$A$2:$A$2000,A23,Historie!$E$2:$E$2000,"&lt;&gt;")),""))</f>
        <v/>
      </c>
      <c r="K23" s="25">
        <f>IF(I23=0,"",IFERROR(IF(AND(Parametry!$B$39="ANO",B23&lt;&gt;""),COUNTIFS(Historie!$A$2:$A$2000,A23,Historie!$B$2:$B$2000,B23,Historie!$E$2:$E$2000,"&lt;&gt;",Historie!$F$2:$F$2000,"&gt;0")/I23,COUNTIFS(Historie!$A$2:$A$2000,A23,Historie!$E$2:$E$2000,"&lt;&gt;",Historie!$F$2:$F$2000,"&gt;0")/I23),0))</f>
        <v>0</v>
      </c>
      <c r="L23" t="str">
        <f>IF(OR(A23="",I23=0),"",IFERROR(DATEDIF(IF(AND(Parametry!$B$39="ANO",B23&lt;&gt;""),_xludf.minifs(Historie!$E$2:$E$2000,Historie!$A$2:$A$2000,A23,Historie!$B$2:$B$2000,B23,Historie!$E$2:$E$2000,"&lt;&gt;"),_xludf.minifs(Historie!$E$2:$E$2000,Historie!$A$2:$A$2000,A23,Historie!$E$2:$E$2000,"&lt;&gt;")),IF(AND(Parametry!$B$39="ANO",B23&lt;&gt;""),_xludf.maxifs(Historie!$E$2:$E$2000,Historie!$A$2:$A$2000,A23,Historie!$B$2:$B$2000,B23,Historie!$E$2:$E$2000,"&lt;&gt;"),_xludf.maxifs(Historie!$E$2:$E$2000,Historie!$A$2:$A$2000,A23,Historie!$E$2:$E$2000,"&lt;&gt;")),"M"),0))</f>
        <v/>
      </c>
      <c r="M23" s="1" t="str">
        <f>IF(A23="","",IFERROR(IF(AND(Parametry!$B$39="ANO",B23&lt;&gt;""),AVERAGEIFS(Historie!$C$2:$C$2000,Historie!$A$2:$A$2000,A23,Historie!$B$2:$B$2000,B23,Historie!$E$2:$E$2000,"&lt;&gt;"),AVERAGEIFS(Historie!$C$2:$C$2000,Historie!$A$2:$A$2000,A23,Historie!$E$2:$E$2000,"&lt;&gt;")),""))</f>
        <v/>
      </c>
      <c r="N23" t="str">
        <f t="shared" ca="1" si="0"/>
        <v/>
      </c>
      <c r="O23" t="str">
        <f t="shared" si="1"/>
        <v/>
      </c>
      <c r="P23" t="str">
        <f t="shared" si="2"/>
        <v/>
      </c>
      <c r="Q23" s="26" t="str">
        <f t="shared" si="3"/>
        <v/>
      </c>
      <c r="R23" t="str">
        <f>IF(OR(A23="",E23=""),"",IF(I23&gt;=Parametry!$B$4,Parametry!$B$9,0))</f>
        <v/>
      </c>
      <c r="S23" t="str">
        <f>IF(OR(A23="",E23=""),"",IF(I23&gt;0,IF(J23&lt;=Parametry!$B$5,Parametry!$B$10,0),0))</f>
        <v/>
      </c>
      <c r="T23" t="str">
        <f>IF(OR(A23="",E23=""),"",IF(I23&gt;0,IF(K23&lt;=Parametry!$B$6,Parametry!$B$11,0),0))</f>
        <v/>
      </c>
      <c r="U23" t="str">
        <f>IF(OR(A23="",E23=""),"",IF(L23&gt;=Parametry!$B$7,Parametry!$B$12,0))</f>
        <v/>
      </c>
      <c r="V23" t="str">
        <f>IF(OR(A23="",E23=""),"",IF(M23&gt;0,IF(Q23&lt;=Parametry!$B$8,Parametry!$B$13,0),0))</f>
        <v/>
      </c>
      <c r="W23" t="str">
        <f>IF(OR(A23="",E23=""),"",IF(P23="ANO",Parametry!$B$14,0))</f>
        <v/>
      </c>
      <c r="X23" t="str">
        <f>IF(OR(A23="",E23=""),"",IF(G23="ANO",Parametry!$B$15,0))</f>
        <v/>
      </c>
      <c r="Y23" t="str">
        <f>IF(OR(A23="",E23=""),"",IF(H23="ANO",Parametry!$B$16,0))</f>
        <v/>
      </c>
      <c r="Z23" t="str">
        <f t="shared" si="4"/>
        <v/>
      </c>
      <c r="AA23" t="str">
        <f>IF(Z23="","",IF(AW23="STOP","Stop",IF(AW23="MANUAL",IF(Z23&gt;=Parametry!$B$19,"Watchlist","Stop"),IF(Z23&gt;=Parametry!$B$17,"Nízké riziko",IF(Z23&gt;=Parametry!$B$18,"Střední riziko",IF(Z23&gt;=Parametry!$B$19,"Watchlist","Stop"))))))</f>
        <v/>
      </c>
      <c r="AB23" s="17" t="str">
        <f>IF(AA23="","",MIN(IF(AA23="Nízké riziko",Parametry!$B$20,IF(AA23="Střední riziko",Parametry!$B$21,IF(AA23="Watchlist",Parametry!$B$22,Parametry!$B$23))),IFERROR(INDEX(Ciselniky!$H$3:$H$10,MATCH(AT23,Ciselniky!$F$3:$F$10,0)),0)))</f>
        <v/>
      </c>
      <c r="AC23" s="17" t="str">
        <f>IF(AA23="","",IF(AA23="Stop",0,IF(AA23="Nízké riziko",Parametry!$B$24,IF(AA23="Střední riziko",Parametry!$B$25,IF(AA23="Watchlist",Parametry!$B$26,0)))+IFERROR(INDEX(Ciselniky!$I$3:$I$10,MATCH(AT23,Ciselniky!$F$3:$F$10,0)),0)))</f>
        <v/>
      </c>
      <c r="AD23" t="str">
        <f t="shared" si="5"/>
        <v/>
      </c>
      <c r="AE23">
        <f t="shared" si="6"/>
        <v>0</v>
      </c>
      <c r="AF23">
        <f t="shared" si="7"/>
        <v>0</v>
      </c>
      <c r="AG23">
        <f>Parametry!$B$28</f>
        <v>5800000</v>
      </c>
      <c r="AH23" s="17" t="str">
        <f t="shared" si="8"/>
        <v/>
      </c>
      <c r="AI23" s="17">
        <f>IFERROR(AF23/Parametry!$B$28,"")</f>
        <v>0</v>
      </c>
      <c r="AJ23" s="17">
        <f>IFERROR(AE23/Parametry!$B$28,"")</f>
        <v>0</v>
      </c>
      <c r="AK23" t="str">
        <f>IF(OR(A23="",E23=""),"",MAX(0,100-IF(Parametry!$B$27="early",0.5,IF(Parametry!$B$27="growth",0.75,1))*(IF(AI23&lt;=Parametry!$B$34,0,IF(AI23&lt;=Parametry!$B$34+0.05,8,20))+IF(AH23&lt;=Parametry!$B$35,0,12)+IF(AJ23&lt;=Parametry!$B$36,0,12))))</f>
        <v/>
      </c>
      <c r="AL23" t="str">
        <f>IF(OR(A23="",E23=""),"",IF(Parametry!$B$27="early",IF(OR(AI23&gt;Parametry!$B$34*1.2,AH23&gt;Parametry!$B$35*1.3),"EARLY STAGE EXCEPTION","OK"),IF(Parametry!$B$27="growth",IF(OR(AI23&gt;Parametry!$B$34*1.35,AH23&gt;Parametry!$B$35*1.4),"RED FLAG","OK"),IF(OR(AI23&gt;Parametry!$B$34*1.2,AH23&gt;Parametry!$B$35*1.3),"RED FLAG","OK"))))</f>
        <v/>
      </c>
      <c r="AM23" t="str">
        <f>IF(OR(A23="",E23=""),"",IF(COUNTIF($A$6:A23,A23)=1,AF23,""))</f>
        <v/>
      </c>
      <c r="AN23" t="str">
        <f t="shared" si="9"/>
        <v/>
      </c>
      <c r="AO23" t="str">
        <f t="shared" si="10"/>
        <v/>
      </c>
      <c r="AP23" t="str">
        <f t="shared" si="11"/>
        <v/>
      </c>
      <c r="AQ23" s="14" t="str">
        <f t="shared" si="12"/>
        <v/>
      </c>
      <c r="AR23" t="str">
        <f t="shared" si="13"/>
        <v/>
      </c>
      <c r="AS23" t="str">
        <f t="shared" si="14"/>
        <v/>
      </c>
      <c r="AT23" s="23" t="str">
        <f>IF(A23="","",IF(COUNTIF(Ciselniky!$L$3:$L$200,A23)=0,"NR",IF(INDEX(Ciselniky!$M$3:$M$200,MATCH(A23,Ciselniky!$L$3:$L$200,0))="","NR",INDEX(Ciselniky!$M$3:$M$200,MATCH(A23,Ciselniky!$L$3:$L$200,0)))))</f>
        <v/>
      </c>
      <c r="AU23" t="str">
        <f>IF(A23="","",IF(AT23="NR","doplňit rating v Ciselniky",IFERROR(IF(INDEX(Ciselniky!$N$3:$N$200,MATCH(A23,Ciselniky!$L$3:$L$200,0))="","anchor master",INDEX(Ciselniky!$N$3:$N$200,MATCH(A23,Ciselniky!$L$3:$L$200,0))),"anchor master")))</f>
        <v/>
      </c>
      <c r="AV23" s="14" t="str">
        <f>IF(AT23="","",IFERROR(INDEX(Ciselniky!$G$3:$G$10,MATCH(AT23,Ciselniky!$F$3:$F$10,0)),0))</f>
        <v/>
      </c>
      <c r="AW23" t="str">
        <f>IF(AT23="","",IFERROR(INDEX(Ciselniky!$J$3:$J$10,MATCH(AT23,Ciselniky!$F$3:$F$10,0)),"MANUAL"))</f>
        <v/>
      </c>
      <c r="AX23" s="14" t="str">
        <f t="shared" si="15"/>
        <v/>
      </c>
      <c r="AY23" s="27" t="str">
        <f>IF(OR(A23="",E23=""),"",AV23*Parametry!$B$41)</f>
        <v/>
      </c>
      <c r="AZ23" s="27" t="str">
        <f>IF(OR(A23="",E23=""),"",AX23*Parametry!$B$42)</f>
        <v/>
      </c>
      <c r="BA23" s="27" t="str">
        <f>IF(OR(A23="",E23=""),"",AK23*Parametry!$B$43)</f>
        <v/>
      </c>
      <c r="BB23" s="14" t="str">
        <f>IF(OR(A23="",E23=""),"",IF(AW23="STOP",-100,IF(AT23="BB",Parametry!$B$47,IF(AT23="NR",Parametry!$B$48,0))))</f>
        <v/>
      </c>
    </row>
    <row r="24" spans="1:54" ht="21.75" customHeight="1" x14ac:dyDescent="0.2">
      <c r="A24" s="23"/>
      <c r="B24" s="23"/>
      <c r="C24" s="23"/>
      <c r="D24" s="23"/>
      <c r="E24" s="23"/>
      <c r="F24" s="23"/>
      <c r="G24" s="23"/>
      <c r="H24" s="23"/>
      <c r="I24" t="str">
        <f>IF(A24="","",IF(AND(Parametry!$B$39="ANO",B24&lt;&gt;""),COUNTIFS(Historie!$A$2:$A$2000,A24,Historie!$B$2:$B$2000,B24,Historie!$E$2:$E$2000,"&lt;&gt;"),COUNTIFS(Historie!$A$2:$A$2000,A24,Historie!$E$2:$E$2000,"&lt;&gt;")))</f>
        <v/>
      </c>
      <c r="J24" s="14" t="str">
        <f>IF(I24=0,"",IFERROR(IF(AND(Parametry!$B$39="ANO",B24&lt;&gt;""),AVERAGEIFS(Historie!$F$2:$F$2000,Historie!$A$2:$A$2000,A24,Historie!$B$2:$B$2000,B24,Historie!$E$2:$E$2000,"&lt;&gt;"),AVERAGEIFS(Historie!$F$2:$F$2000,Historie!$A$2:$A$2000,A24,Historie!$E$2:$E$2000,"&lt;&gt;")),""))</f>
        <v/>
      </c>
      <c r="K24" s="25">
        <f>IF(I24=0,"",IFERROR(IF(AND(Parametry!$B$39="ANO",B24&lt;&gt;""),COUNTIFS(Historie!$A$2:$A$2000,A24,Historie!$B$2:$B$2000,B24,Historie!$E$2:$E$2000,"&lt;&gt;",Historie!$F$2:$F$2000,"&gt;0")/I24,COUNTIFS(Historie!$A$2:$A$2000,A24,Historie!$E$2:$E$2000,"&lt;&gt;",Historie!$F$2:$F$2000,"&gt;0")/I24),0))</f>
        <v>0</v>
      </c>
      <c r="L24" t="str">
        <f>IF(OR(A24="",I24=0),"",IFERROR(DATEDIF(IF(AND(Parametry!$B$39="ANO",B24&lt;&gt;""),_xludf.minifs(Historie!$E$2:$E$2000,Historie!$A$2:$A$2000,A24,Historie!$B$2:$B$2000,B24,Historie!$E$2:$E$2000,"&lt;&gt;"),_xludf.minifs(Historie!$E$2:$E$2000,Historie!$A$2:$A$2000,A24,Historie!$E$2:$E$2000,"&lt;&gt;")),IF(AND(Parametry!$B$39="ANO",B24&lt;&gt;""),_xludf.maxifs(Historie!$E$2:$E$2000,Historie!$A$2:$A$2000,A24,Historie!$B$2:$B$2000,B24,Historie!$E$2:$E$2000,"&lt;&gt;"),_xludf.maxifs(Historie!$E$2:$E$2000,Historie!$A$2:$A$2000,A24,Historie!$E$2:$E$2000,"&lt;&gt;")),"M"),0))</f>
        <v/>
      </c>
      <c r="M24" s="1" t="str">
        <f>IF(A24="","",IFERROR(IF(AND(Parametry!$B$39="ANO",B24&lt;&gt;""),AVERAGEIFS(Historie!$C$2:$C$2000,Historie!$A$2:$A$2000,A24,Historie!$B$2:$B$2000,B24,Historie!$E$2:$E$2000,"&lt;&gt;"),AVERAGEIFS(Historie!$C$2:$C$2000,Historie!$A$2:$A$2000,A24,Historie!$E$2:$E$2000,"&lt;&gt;")),""))</f>
        <v/>
      </c>
      <c r="N24" t="str">
        <f t="shared" ca="1" si="0"/>
        <v/>
      </c>
      <c r="O24" t="str">
        <f t="shared" si="1"/>
        <v/>
      </c>
      <c r="P24" t="str">
        <f t="shared" si="2"/>
        <v/>
      </c>
      <c r="Q24" s="26" t="str">
        <f t="shared" si="3"/>
        <v/>
      </c>
      <c r="R24" t="str">
        <f>IF(OR(A24="",E24=""),"",IF(I24&gt;=Parametry!$B$4,Parametry!$B$9,0))</f>
        <v/>
      </c>
      <c r="S24" t="str">
        <f>IF(OR(A24="",E24=""),"",IF(I24&gt;0,IF(J24&lt;=Parametry!$B$5,Parametry!$B$10,0),0))</f>
        <v/>
      </c>
      <c r="T24" t="str">
        <f>IF(OR(A24="",E24=""),"",IF(I24&gt;0,IF(K24&lt;=Parametry!$B$6,Parametry!$B$11,0),0))</f>
        <v/>
      </c>
      <c r="U24" t="str">
        <f>IF(OR(A24="",E24=""),"",IF(L24&gt;=Parametry!$B$7,Parametry!$B$12,0))</f>
        <v/>
      </c>
      <c r="V24" t="str">
        <f>IF(OR(A24="",E24=""),"",IF(M24&gt;0,IF(Q24&lt;=Parametry!$B$8,Parametry!$B$13,0),0))</f>
        <v/>
      </c>
      <c r="W24" t="str">
        <f>IF(OR(A24="",E24=""),"",IF(P24="ANO",Parametry!$B$14,0))</f>
        <v/>
      </c>
      <c r="X24" t="str">
        <f>IF(OR(A24="",E24=""),"",IF(G24="ANO",Parametry!$B$15,0))</f>
        <v/>
      </c>
      <c r="Y24" t="str">
        <f>IF(OR(A24="",E24=""),"",IF(H24="ANO",Parametry!$B$16,0))</f>
        <v/>
      </c>
      <c r="Z24" t="str">
        <f t="shared" si="4"/>
        <v/>
      </c>
      <c r="AA24" t="str">
        <f>IF(Z24="","",IF(AW24="STOP","Stop",IF(AW24="MANUAL",IF(Z24&gt;=Parametry!$B$19,"Watchlist","Stop"),IF(Z24&gt;=Parametry!$B$17,"Nízké riziko",IF(Z24&gt;=Parametry!$B$18,"Střední riziko",IF(Z24&gt;=Parametry!$B$19,"Watchlist","Stop"))))))</f>
        <v/>
      </c>
      <c r="AB24" s="17" t="str">
        <f>IF(AA24="","",MIN(IF(AA24="Nízké riziko",Parametry!$B$20,IF(AA24="Střední riziko",Parametry!$B$21,IF(AA24="Watchlist",Parametry!$B$22,Parametry!$B$23))),IFERROR(INDEX(Ciselniky!$H$3:$H$10,MATCH(AT24,Ciselniky!$F$3:$F$10,0)),0)))</f>
        <v/>
      </c>
      <c r="AC24" s="17" t="str">
        <f>IF(AA24="","",IF(AA24="Stop",0,IF(AA24="Nízké riziko",Parametry!$B$24,IF(AA24="Střední riziko",Parametry!$B$25,IF(AA24="Watchlist",Parametry!$B$26,0)))+IFERROR(INDEX(Ciselniky!$I$3:$I$10,MATCH(AT24,Ciselniky!$F$3:$F$10,0)),0)))</f>
        <v/>
      </c>
      <c r="AD24" t="str">
        <f t="shared" si="5"/>
        <v/>
      </c>
      <c r="AE24">
        <f t="shared" si="6"/>
        <v>0</v>
      </c>
      <c r="AF24">
        <f t="shared" si="7"/>
        <v>0</v>
      </c>
      <c r="AG24">
        <f>Parametry!$B$28</f>
        <v>5800000</v>
      </c>
      <c r="AH24" s="17" t="str">
        <f t="shared" si="8"/>
        <v/>
      </c>
      <c r="AI24" s="17">
        <f>IFERROR(AF24/Parametry!$B$28,"")</f>
        <v>0</v>
      </c>
      <c r="AJ24" s="17">
        <f>IFERROR(AE24/Parametry!$B$28,"")</f>
        <v>0</v>
      </c>
      <c r="AK24" t="str">
        <f>IF(OR(A24="",E24=""),"",MAX(0,100-IF(Parametry!$B$27="early",0.5,IF(Parametry!$B$27="growth",0.75,1))*(IF(AI24&lt;=Parametry!$B$34,0,IF(AI24&lt;=Parametry!$B$34+0.05,8,20))+IF(AH24&lt;=Parametry!$B$35,0,12)+IF(AJ24&lt;=Parametry!$B$36,0,12))))</f>
        <v/>
      </c>
      <c r="AL24" t="str">
        <f>IF(OR(A24="",E24=""),"",IF(Parametry!$B$27="early",IF(OR(AI24&gt;Parametry!$B$34*1.2,AH24&gt;Parametry!$B$35*1.3),"EARLY STAGE EXCEPTION","OK"),IF(Parametry!$B$27="growth",IF(OR(AI24&gt;Parametry!$B$34*1.35,AH24&gt;Parametry!$B$35*1.4),"RED FLAG","OK"),IF(OR(AI24&gt;Parametry!$B$34*1.2,AH24&gt;Parametry!$B$35*1.3),"RED FLAG","OK"))))</f>
        <v/>
      </c>
      <c r="AM24" t="str">
        <f>IF(OR(A24="",E24=""),"",IF(COUNTIF($A$6:A24,A24)=1,AF24,""))</f>
        <v/>
      </c>
      <c r="AN24" t="str">
        <f t="shared" si="9"/>
        <v/>
      </c>
      <c r="AO24" t="str">
        <f t="shared" si="10"/>
        <v/>
      </c>
      <c r="AP24" t="str">
        <f t="shared" si="11"/>
        <v/>
      </c>
      <c r="AQ24" s="14" t="str">
        <f t="shared" si="12"/>
        <v/>
      </c>
      <c r="AR24" t="str">
        <f t="shared" si="13"/>
        <v/>
      </c>
      <c r="AS24" t="str">
        <f t="shared" si="14"/>
        <v/>
      </c>
      <c r="AT24" s="23" t="str">
        <f>IF(A24="","",IF(COUNTIF(Ciselniky!$L$3:$L$200,A24)=0,"NR",IF(INDEX(Ciselniky!$M$3:$M$200,MATCH(A24,Ciselniky!$L$3:$L$200,0))="","NR",INDEX(Ciselniky!$M$3:$M$200,MATCH(A24,Ciselniky!$L$3:$L$200,0)))))</f>
        <v/>
      </c>
      <c r="AU24" t="str">
        <f>IF(A24="","",IF(AT24="NR","doplňit rating v Ciselniky",IFERROR(IF(INDEX(Ciselniky!$N$3:$N$200,MATCH(A24,Ciselniky!$L$3:$L$200,0))="","anchor master",INDEX(Ciselniky!$N$3:$N$200,MATCH(A24,Ciselniky!$L$3:$L$200,0))),"anchor master")))</f>
        <v/>
      </c>
      <c r="AV24" s="14" t="str">
        <f>IF(AT24="","",IFERROR(INDEX(Ciselniky!$G$3:$G$10,MATCH(AT24,Ciselniky!$F$3:$F$10,0)),0))</f>
        <v/>
      </c>
      <c r="AW24" t="str">
        <f>IF(AT24="","",IFERROR(INDEX(Ciselniky!$J$3:$J$10,MATCH(AT24,Ciselniky!$F$3:$F$10,0)),"MANUAL"))</f>
        <v/>
      </c>
      <c r="AX24" s="14" t="str">
        <f t="shared" si="15"/>
        <v/>
      </c>
      <c r="AY24" s="27" t="str">
        <f>IF(OR(A24="",E24=""),"",AV24*Parametry!$B$41)</f>
        <v/>
      </c>
      <c r="AZ24" s="27" t="str">
        <f>IF(OR(A24="",E24=""),"",AX24*Parametry!$B$42)</f>
        <v/>
      </c>
      <c r="BA24" s="27" t="str">
        <f>IF(OR(A24="",E24=""),"",AK24*Parametry!$B$43)</f>
        <v/>
      </c>
      <c r="BB24" s="14" t="str">
        <f>IF(OR(A24="",E24=""),"",IF(AW24="STOP",-100,IF(AT24="BB",Parametry!$B$47,IF(AT24="NR",Parametry!$B$48,0))))</f>
        <v/>
      </c>
    </row>
    <row r="25" spans="1:54" ht="21.75" customHeight="1" x14ac:dyDescent="0.2">
      <c r="A25" s="23"/>
      <c r="B25" s="23"/>
      <c r="C25" s="23"/>
      <c r="D25" s="23"/>
      <c r="E25" s="23"/>
      <c r="F25" s="23"/>
      <c r="G25" s="23"/>
      <c r="H25" s="23"/>
      <c r="I25" t="str">
        <f>IF(A25="","",IF(AND(Parametry!$B$39="ANO",B25&lt;&gt;""),COUNTIFS(Historie!$A$2:$A$2000,A25,Historie!$B$2:$B$2000,B25,Historie!$E$2:$E$2000,"&lt;&gt;"),COUNTIFS(Historie!$A$2:$A$2000,A25,Historie!$E$2:$E$2000,"&lt;&gt;")))</f>
        <v/>
      </c>
      <c r="J25" s="14" t="str">
        <f>IF(I25=0,"",IFERROR(IF(AND(Parametry!$B$39="ANO",B25&lt;&gt;""),AVERAGEIFS(Historie!$F$2:$F$2000,Historie!$A$2:$A$2000,A25,Historie!$B$2:$B$2000,B25,Historie!$E$2:$E$2000,"&lt;&gt;"),AVERAGEIFS(Historie!$F$2:$F$2000,Historie!$A$2:$A$2000,A25,Historie!$E$2:$E$2000,"&lt;&gt;")),""))</f>
        <v/>
      </c>
      <c r="K25" s="25">
        <f>IF(I25=0,"",IFERROR(IF(AND(Parametry!$B$39="ANO",B25&lt;&gt;""),COUNTIFS(Historie!$A$2:$A$2000,A25,Historie!$B$2:$B$2000,B25,Historie!$E$2:$E$2000,"&lt;&gt;",Historie!$F$2:$F$2000,"&gt;0")/I25,COUNTIFS(Historie!$A$2:$A$2000,A25,Historie!$E$2:$E$2000,"&lt;&gt;",Historie!$F$2:$F$2000,"&gt;0")/I25),0))</f>
        <v>0</v>
      </c>
      <c r="L25" t="str">
        <f>IF(OR(A25="",I25=0),"",IFERROR(DATEDIF(IF(AND(Parametry!$B$39="ANO",B25&lt;&gt;""),_xludf.minifs(Historie!$E$2:$E$2000,Historie!$A$2:$A$2000,A25,Historie!$B$2:$B$2000,B25,Historie!$E$2:$E$2000,"&lt;&gt;"),_xludf.minifs(Historie!$E$2:$E$2000,Historie!$A$2:$A$2000,A25,Historie!$E$2:$E$2000,"&lt;&gt;")),IF(AND(Parametry!$B$39="ANO",B25&lt;&gt;""),_xludf.maxifs(Historie!$E$2:$E$2000,Historie!$A$2:$A$2000,A25,Historie!$B$2:$B$2000,B25,Historie!$E$2:$E$2000,"&lt;&gt;"),_xludf.maxifs(Historie!$E$2:$E$2000,Historie!$A$2:$A$2000,A25,Historie!$E$2:$E$2000,"&lt;&gt;")),"M"),0))</f>
        <v/>
      </c>
      <c r="M25" s="1" t="str">
        <f>IF(A25="","",IFERROR(IF(AND(Parametry!$B$39="ANO",B25&lt;&gt;""),AVERAGEIFS(Historie!$C$2:$C$2000,Historie!$A$2:$A$2000,A25,Historie!$B$2:$B$2000,B25,Historie!$E$2:$E$2000,"&lt;&gt;"),AVERAGEIFS(Historie!$C$2:$C$2000,Historie!$A$2:$A$2000,A25,Historie!$E$2:$E$2000,"&lt;&gt;")),""))</f>
        <v/>
      </c>
      <c r="N25" t="str">
        <f t="shared" ca="1" si="0"/>
        <v/>
      </c>
      <c r="O25" t="str">
        <f t="shared" si="1"/>
        <v/>
      </c>
      <c r="P25" t="str">
        <f t="shared" si="2"/>
        <v/>
      </c>
      <c r="Q25" s="26" t="str">
        <f t="shared" si="3"/>
        <v/>
      </c>
      <c r="R25" t="str">
        <f>IF(OR(A25="",E25=""),"",IF(I25&gt;=Parametry!$B$4,Parametry!$B$9,0))</f>
        <v/>
      </c>
      <c r="S25" t="str">
        <f>IF(OR(A25="",E25=""),"",IF(I25&gt;0,IF(J25&lt;=Parametry!$B$5,Parametry!$B$10,0),0))</f>
        <v/>
      </c>
      <c r="T25" t="str">
        <f>IF(OR(A25="",E25=""),"",IF(I25&gt;0,IF(K25&lt;=Parametry!$B$6,Parametry!$B$11,0),0))</f>
        <v/>
      </c>
      <c r="U25" t="str">
        <f>IF(OR(A25="",E25=""),"",IF(L25&gt;=Parametry!$B$7,Parametry!$B$12,0))</f>
        <v/>
      </c>
      <c r="V25" t="str">
        <f>IF(OR(A25="",E25=""),"",IF(M25&gt;0,IF(Q25&lt;=Parametry!$B$8,Parametry!$B$13,0),0))</f>
        <v/>
      </c>
      <c r="W25" t="str">
        <f>IF(OR(A25="",E25=""),"",IF(P25="ANO",Parametry!$B$14,0))</f>
        <v/>
      </c>
      <c r="X25" t="str">
        <f>IF(OR(A25="",E25=""),"",IF(G25="ANO",Parametry!$B$15,0))</f>
        <v/>
      </c>
      <c r="Y25" t="str">
        <f>IF(OR(A25="",E25=""),"",IF(H25="ANO",Parametry!$B$16,0))</f>
        <v/>
      </c>
      <c r="Z25" t="str">
        <f t="shared" si="4"/>
        <v/>
      </c>
      <c r="AA25" t="str">
        <f>IF(Z25="","",IF(AW25="STOP","Stop",IF(AW25="MANUAL",IF(Z25&gt;=Parametry!$B$19,"Watchlist","Stop"),IF(Z25&gt;=Parametry!$B$17,"Nízké riziko",IF(Z25&gt;=Parametry!$B$18,"Střední riziko",IF(Z25&gt;=Parametry!$B$19,"Watchlist","Stop"))))))</f>
        <v/>
      </c>
      <c r="AB25" s="17" t="str">
        <f>IF(AA25="","",MIN(IF(AA25="Nízké riziko",Parametry!$B$20,IF(AA25="Střední riziko",Parametry!$B$21,IF(AA25="Watchlist",Parametry!$B$22,Parametry!$B$23))),IFERROR(INDEX(Ciselniky!$H$3:$H$10,MATCH(AT25,Ciselniky!$F$3:$F$10,0)),0)))</f>
        <v/>
      </c>
      <c r="AC25" s="17" t="str">
        <f>IF(AA25="","",IF(AA25="Stop",0,IF(AA25="Nízké riziko",Parametry!$B$24,IF(AA25="Střední riziko",Parametry!$B$25,IF(AA25="Watchlist",Parametry!$B$26,0)))+IFERROR(INDEX(Ciselniky!$I$3:$I$10,MATCH(AT25,Ciselniky!$F$3:$F$10,0)),0)))</f>
        <v/>
      </c>
      <c r="AD25" t="str">
        <f t="shared" si="5"/>
        <v/>
      </c>
      <c r="AE25">
        <f t="shared" si="6"/>
        <v>0</v>
      </c>
      <c r="AF25">
        <f t="shared" si="7"/>
        <v>0</v>
      </c>
      <c r="AG25">
        <f>Parametry!$B$28</f>
        <v>5800000</v>
      </c>
      <c r="AH25" s="17" t="str">
        <f t="shared" si="8"/>
        <v/>
      </c>
      <c r="AI25" s="17">
        <f>IFERROR(AF25/Parametry!$B$28,"")</f>
        <v>0</v>
      </c>
      <c r="AJ25" s="17">
        <f>IFERROR(AE25/Parametry!$B$28,"")</f>
        <v>0</v>
      </c>
      <c r="AK25" t="str">
        <f>IF(OR(A25="",E25=""),"",MAX(0,100-IF(Parametry!$B$27="early",0.5,IF(Parametry!$B$27="growth",0.75,1))*(IF(AI25&lt;=Parametry!$B$34,0,IF(AI25&lt;=Parametry!$B$34+0.05,8,20))+IF(AH25&lt;=Parametry!$B$35,0,12)+IF(AJ25&lt;=Parametry!$B$36,0,12))))</f>
        <v/>
      </c>
      <c r="AL25" t="str">
        <f>IF(OR(A25="",E25=""),"",IF(Parametry!$B$27="early",IF(OR(AI25&gt;Parametry!$B$34*1.2,AH25&gt;Parametry!$B$35*1.3),"EARLY STAGE EXCEPTION","OK"),IF(Parametry!$B$27="growth",IF(OR(AI25&gt;Parametry!$B$34*1.35,AH25&gt;Parametry!$B$35*1.4),"RED FLAG","OK"),IF(OR(AI25&gt;Parametry!$B$34*1.2,AH25&gt;Parametry!$B$35*1.3),"RED FLAG","OK"))))</f>
        <v/>
      </c>
      <c r="AM25" t="str">
        <f>IF(OR(A25="",E25=""),"",IF(COUNTIF($A$6:A25,A25)=1,AF25,""))</f>
        <v/>
      </c>
      <c r="AN25" t="str">
        <f t="shared" si="9"/>
        <v/>
      </c>
      <c r="AO25" t="str">
        <f t="shared" si="10"/>
        <v/>
      </c>
      <c r="AP25" t="str">
        <f t="shared" si="11"/>
        <v/>
      </c>
      <c r="AQ25" s="14" t="str">
        <f t="shared" si="12"/>
        <v/>
      </c>
      <c r="AR25" t="str">
        <f t="shared" si="13"/>
        <v/>
      </c>
      <c r="AS25" t="str">
        <f t="shared" si="14"/>
        <v/>
      </c>
      <c r="AT25" s="23" t="str">
        <f>IF(A25="","",IF(COUNTIF(Ciselniky!$L$3:$L$200,A25)=0,"NR",IF(INDEX(Ciselniky!$M$3:$M$200,MATCH(A25,Ciselniky!$L$3:$L$200,0))="","NR",INDEX(Ciselniky!$M$3:$M$200,MATCH(A25,Ciselniky!$L$3:$L$200,0)))))</f>
        <v/>
      </c>
      <c r="AU25" t="str">
        <f>IF(A25="","",IF(AT25="NR","doplňit rating v Ciselniky",IFERROR(IF(INDEX(Ciselniky!$N$3:$N$200,MATCH(A25,Ciselniky!$L$3:$L$200,0))="","anchor master",INDEX(Ciselniky!$N$3:$N$200,MATCH(A25,Ciselniky!$L$3:$L$200,0))),"anchor master")))</f>
        <v/>
      </c>
      <c r="AV25" s="14" t="str">
        <f>IF(AT25="","",IFERROR(INDEX(Ciselniky!$G$3:$G$10,MATCH(AT25,Ciselniky!$F$3:$F$10,0)),0))</f>
        <v/>
      </c>
      <c r="AW25" t="str">
        <f>IF(AT25="","",IFERROR(INDEX(Ciselniky!$J$3:$J$10,MATCH(AT25,Ciselniky!$F$3:$F$10,0)),"MANUAL"))</f>
        <v/>
      </c>
      <c r="AX25" s="14" t="str">
        <f t="shared" si="15"/>
        <v/>
      </c>
      <c r="AY25" s="27" t="str">
        <f>IF(OR(A25="",E25=""),"",AV25*Parametry!$B$41)</f>
        <v/>
      </c>
      <c r="AZ25" s="27" t="str">
        <f>IF(OR(A25="",E25=""),"",AX25*Parametry!$B$42)</f>
        <v/>
      </c>
      <c r="BA25" s="27" t="str">
        <f>IF(OR(A25="",E25=""),"",AK25*Parametry!$B$43)</f>
        <v/>
      </c>
      <c r="BB25" s="14" t="str">
        <f>IF(OR(A25="",E25=""),"",IF(AW25="STOP",-100,IF(AT25="BB",Parametry!$B$47,IF(AT25="NR",Parametry!$B$48,0))))</f>
        <v/>
      </c>
    </row>
    <row r="26" spans="1:54" ht="21.75" customHeight="1" x14ac:dyDescent="0.2">
      <c r="A26" s="23"/>
      <c r="B26" s="23"/>
      <c r="C26" s="23"/>
      <c r="D26" s="23"/>
      <c r="E26" s="23"/>
      <c r="F26" s="23"/>
      <c r="G26" s="23"/>
      <c r="H26" s="23"/>
      <c r="I26" t="str">
        <f>IF(A26="","",IF(AND(Parametry!$B$39="ANO",B26&lt;&gt;""),COUNTIFS(Historie!$A$2:$A$2000,A26,Historie!$B$2:$B$2000,B26,Historie!$E$2:$E$2000,"&lt;&gt;"),COUNTIFS(Historie!$A$2:$A$2000,A26,Historie!$E$2:$E$2000,"&lt;&gt;")))</f>
        <v/>
      </c>
      <c r="J26" s="14" t="str">
        <f>IF(I26=0,"",IFERROR(IF(AND(Parametry!$B$39="ANO",B26&lt;&gt;""),AVERAGEIFS(Historie!$F$2:$F$2000,Historie!$A$2:$A$2000,A26,Historie!$B$2:$B$2000,B26,Historie!$E$2:$E$2000,"&lt;&gt;"),AVERAGEIFS(Historie!$F$2:$F$2000,Historie!$A$2:$A$2000,A26,Historie!$E$2:$E$2000,"&lt;&gt;")),""))</f>
        <v/>
      </c>
      <c r="K26" s="25">
        <f>IF(I26=0,"",IFERROR(IF(AND(Parametry!$B$39="ANO",B26&lt;&gt;""),COUNTIFS(Historie!$A$2:$A$2000,A26,Historie!$B$2:$B$2000,B26,Historie!$E$2:$E$2000,"&lt;&gt;",Historie!$F$2:$F$2000,"&gt;0")/I26,COUNTIFS(Historie!$A$2:$A$2000,A26,Historie!$E$2:$E$2000,"&lt;&gt;",Historie!$F$2:$F$2000,"&gt;0")/I26),0))</f>
        <v>0</v>
      </c>
      <c r="L26" t="str">
        <f>IF(OR(A26="",I26=0),"",IFERROR(DATEDIF(IF(AND(Parametry!$B$39="ANO",B26&lt;&gt;""),_xludf.minifs(Historie!$E$2:$E$2000,Historie!$A$2:$A$2000,A26,Historie!$B$2:$B$2000,B26,Historie!$E$2:$E$2000,"&lt;&gt;"),_xludf.minifs(Historie!$E$2:$E$2000,Historie!$A$2:$A$2000,A26,Historie!$E$2:$E$2000,"&lt;&gt;")),IF(AND(Parametry!$B$39="ANO",B26&lt;&gt;""),_xludf.maxifs(Historie!$E$2:$E$2000,Historie!$A$2:$A$2000,A26,Historie!$B$2:$B$2000,B26,Historie!$E$2:$E$2000,"&lt;&gt;"),_xludf.maxifs(Historie!$E$2:$E$2000,Historie!$A$2:$A$2000,A26,Historie!$E$2:$E$2000,"&lt;&gt;")),"M"),0))</f>
        <v/>
      </c>
      <c r="M26" s="1" t="str">
        <f>IF(A26="","",IFERROR(IF(AND(Parametry!$B$39="ANO",B26&lt;&gt;""),AVERAGEIFS(Historie!$C$2:$C$2000,Historie!$A$2:$A$2000,A26,Historie!$B$2:$B$2000,B26,Historie!$E$2:$E$2000,"&lt;&gt;"),AVERAGEIFS(Historie!$C$2:$C$2000,Historie!$A$2:$A$2000,A26,Historie!$E$2:$E$2000,"&lt;&gt;")),""))</f>
        <v/>
      </c>
      <c r="N26" t="str">
        <f t="shared" ca="1" si="0"/>
        <v/>
      </c>
      <c r="O26" t="str">
        <f t="shared" si="1"/>
        <v/>
      </c>
      <c r="P26" t="str">
        <f t="shared" si="2"/>
        <v/>
      </c>
      <c r="Q26" s="26" t="str">
        <f t="shared" si="3"/>
        <v/>
      </c>
      <c r="R26" t="str">
        <f>IF(OR(A26="",E26=""),"",IF(I26&gt;=Parametry!$B$4,Parametry!$B$9,0))</f>
        <v/>
      </c>
      <c r="S26" t="str">
        <f>IF(OR(A26="",E26=""),"",IF(I26&gt;0,IF(J26&lt;=Parametry!$B$5,Parametry!$B$10,0),0))</f>
        <v/>
      </c>
      <c r="T26" t="str">
        <f>IF(OR(A26="",E26=""),"",IF(I26&gt;0,IF(K26&lt;=Parametry!$B$6,Parametry!$B$11,0),0))</f>
        <v/>
      </c>
      <c r="U26" t="str">
        <f>IF(OR(A26="",E26=""),"",IF(L26&gt;=Parametry!$B$7,Parametry!$B$12,0))</f>
        <v/>
      </c>
      <c r="V26" t="str">
        <f>IF(OR(A26="",E26=""),"",IF(M26&gt;0,IF(Q26&lt;=Parametry!$B$8,Parametry!$B$13,0),0))</f>
        <v/>
      </c>
      <c r="W26" t="str">
        <f>IF(OR(A26="",E26=""),"",IF(P26="ANO",Parametry!$B$14,0))</f>
        <v/>
      </c>
      <c r="X26" t="str">
        <f>IF(OR(A26="",E26=""),"",IF(G26="ANO",Parametry!$B$15,0))</f>
        <v/>
      </c>
      <c r="Y26" t="str">
        <f>IF(OR(A26="",E26=""),"",IF(H26="ANO",Parametry!$B$16,0))</f>
        <v/>
      </c>
      <c r="Z26" t="str">
        <f t="shared" si="4"/>
        <v/>
      </c>
      <c r="AA26" t="str">
        <f>IF(Z26="","",IF(AW26="STOP","Stop",IF(AW26="MANUAL",IF(Z26&gt;=Parametry!$B$19,"Watchlist","Stop"),IF(Z26&gt;=Parametry!$B$17,"Nízké riziko",IF(Z26&gt;=Parametry!$B$18,"Střední riziko",IF(Z26&gt;=Parametry!$B$19,"Watchlist","Stop"))))))</f>
        <v/>
      </c>
      <c r="AB26" s="17" t="str">
        <f>IF(AA26="","",MIN(IF(AA26="Nízké riziko",Parametry!$B$20,IF(AA26="Střední riziko",Parametry!$B$21,IF(AA26="Watchlist",Parametry!$B$22,Parametry!$B$23))),IFERROR(INDEX(Ciselniky!$H$3:$H$10,MATCH(AT26,Ciselniky!$F$3:$F$10,0)),0)))</f>
        <v/>
      </c>
      <c r="AC26" s="17" t="str">
        <f>IF(AA26="","",IF(AA26="Stop",0,IF(AA26="Nízké riziko",Parametry!$B$24,IF(AA26="Střední riziko",Parametry!$B$25,IF(AA26="Watchlist",Parametry!$B$26,0)))+IFERROR(INDEX(Ciselniky!$I$3:$I$10,MATCH(AT26,Ciselniky!$F$3:$F$10,0)),0)))</f>
        <v/>
      </c>
      <c r="AD26" t="str">
        <f t="shared" si="5"/>
        <v/>
      </c>
      <c r="AE26">
        <f t="shared" si="6"/>
        <v>0</v>
      </c>
      <c r="AF26">
        <f t="shared" si="7"/>
        <v>0</v>
      </c>
      <c r="AG26">
        <f>Parametry!$B$28</f>
        <v>5800000</v>
      </c>
      <c r="AH26" s="17" t="str">
        <f t="shared" si="8"/>
        <v/>
      </c>
      <c r="AI26" s="17">
        <f>IFERROR(AF26/Parametry!$B$28,"")</f>
        <v>0</v>
      </c>
      <c r="AJ26" s="17">
        <f>IFERROR(AE26/Parametry!$B$28,"")</f>
        <v>0</v>
      </c>
      <c r="AK26" t="str">
        <f>IF(OR(A26="",E26=""),"",MAX(0,100-IF(Parametry!$B$27="early",0.5,IF(Parametry!$B$27="growth",0.75,1))*(IF(AI26&lt;=Parametry!$B$34,0,IF(AI26&lt;=Parametry!$B$34+0.05,8,20))+IF(AH26&lt;=Parametry!$B$35,0,12)+IF(AJ26&lt;=Parametry!$B$36,0,12))))</f>
        <v/>
      </c>
      <c r="AL26" t="str">
        <f>IF(OR(A26="",E26=""),"",IF(Parametry!$B$27="early",IF(OR(AI26&gt;Parametry!$B$34*1.2,AH26&gt;Parametry!$B$35*1.3),"EARLY STAGE EXCEPTION","OK"),IF(Parametry!$B$27="growth",IF(OR(AI26&gt;Parametry!$B$34*1.35,AH26&gt;Parametry!$B$35*1.4),"RED FLAG","OK"),IF(OR(AI26&gt;Parametry!$B$34*1.2,AH26&gt;Parametry!$B$35*1.3),"RED FLAG","OK"))))</f>
        <v/>
      </c>
      <c r="AM26" t="str">
        <f>IF(OR(A26="",E26=""),"",IF(COUNTIF($A$6:A26,A26)=1,AF26,""))</f>
        <v/>
      </c>
      <c r="AN26" t="str">
        <f t="shared" si="9"/>
        <v/>
      </c>
      <c r="AO26" t="str">
        <f t="shared" si="10"/>
        <v/>
      </c>
      <c r="AP26" t="str">
        <f t="shared" si="11"/>
        <v/>
      </c>
      <c r="AQ26" s="14" t="str">
        <f t="shared" si="12"/>
        <v/>
      </c>
      <c r="AR26" t="str">
        <f t="shared" si="13"/>
        <v/>
      </c>
      <c r="AS26" t="str">
        <f t="shared" si="14"/>
        <v/>
      </c>
      <c r="AT26" s="23" t="str">
        <f>IF(A26="","",IF(COUNTIF(Ciselniky!$L$3:$L$200,A26)=0,"NR",IF(INDEX(Ciselniky!$M$3:$M$200,MATCH(A26,Ciselniky!$L$3:$L$200,0))="","NR",INDEX(Ciselniky!$M$3:$M$200,MATCH(A26,Ciselniky!$L$3:$L$200,0)))))</f>
        <v/>
      </c>
      <c r="AU26" t="str">
        <f>IF(A26="","",IF(AT26="NR","doplňit rating v Ciselniky",IFERROR(IF(INDEX(Ciselniky!$N$3:$N$200,MATCH(A26,Ciselniky!$L$3:$L$200,0))="","anchor master",INDEX(Ciselniky!$N$3:$N$200,MATCH(A26,Ciselniky!$L$3:$L$200,0))),"anchor master")))</f>
        <v/>
      </c>
      <c r="AV26" s="14" t="str">
        <f>IF(AT26="","",IFERROR(INDEX(Ciselniky!$G$3:$G$10,MATCH(AT26,Ciselniky!$F$3:$F$10,0)),0))</f>
        <v/>
      </c>
      <c r="AW26" t="str">
        <f>IF(AT26="","",IFERROR(INDEX(Ciselniky!$J$3:$J$10,MATCH(AT26,Ciselniky!$F$3:$F$10,0)),"MANUAL"))</f>
        <v/>
      </c>
      <c r="AX26" s="14" t="str">
        <f t="shared" si="15"/>
        <v/>
      </c>
      <c r="AY26" s="27" t="str">
        <f>IF(OR(A26="",E26=""),"",AV26*Parametry!$B$41)</f>
        <v/>
      </c>
      <c r="AZ26" s="27" t="str">
        <f>IF(OR(A26="",E26=""),"",AX26*Parametry!$B$42)</f>
        <v/>
      </c>
      <c r="BA26" s="27" t="str">
        <f>IF(OR(A26="",E26=""),"",AK26*Parametry!$B$43)</f>
        <v/>
      </c>
      <c r="BB26" s="14" t="str">
        <f>IF(OR(A26="",E26=""),"",IF(AW26="STOP",-100,IF(AT26="BB",Parametry!$B$47,IF(AT26="NR",Parametry!$B$48,0))))</f>
        <v/>
      </c>
    </row>
    <row r="27" spans="1:54" ht="21.75" customHeight="1" x14ac:dyDescent="0.2">
      <c r="A27" s="23"/>
      <c r="B27" s="23"/>
      <c r="C27" s="23"/>
      <c r="D27" s="23"/>
      <c r="E27" s="23"/>
      <c r="F27" s="23"/>
      <c r="G27" s="23"/>
      <c r="H27" s="23"/>
      <c r="I27" t="str">
        <f>IF(A27="","",IF(AND(Parametry!$B$39="ANO",B27&lt;&gt;""),COUNTIFS(Historie!$A$2:$A$2000,A27,Historie!$B$2:$B$2000,B27,Historie!$E$2:$E$2000,"&lt;&gt;"),COUNTIFS(Historie!$A$2:$A$2000,A27,Historie!$E$2:$E$2000,"&lt;&gt;")))</f>
        <v/>
      </c>
      <c r="J27" s="14" t="str">
        <f>IF(I27=0,"",IFERROR(IF(AND(Parametry!$B$39="ANO",B27&lt;&gt;""),AVERAGEIFS(Historie!$F$2:$F$2000,Historie!$A$2:$A$2000,A27,Historie!$B$2:$B$2000,B27,Historie!$E$2:$E$2000,"&lt;&gt;"),AVERAGEIFS(Historie!$F$2:$F$2000,Historie!$A$2:$A$2000,A27,Historie!$E$2:$E$2000,"&lt;&gt;")),""))</f>
        <v/>
      </c>
      <c r="K27" s="25">
        <f>IF(I27=0,"",IFERROR(IF(AND(Parametry!$B$39="ANO",B27&lt;&gt;""),COUNTIFS(Historie!$A$2:$A$2000,A27,Historie!$B$2:$B$2000,B27,Historie!$E$2:$E$2000,"&lt;&gt;",Historie!$F$2:$F$2000,"&gt;0")/I27,COUNTIFS(Historie!$A$2:$A$2000,A27,Historie!$E$2:$E$2000,"&lt;&gt;",Historie!$F$2:$F$2000,"&gt;0")/I27),0))</f>
        <v>0</v>
      </c>
      <c r="L27" t="str">
        <f>IF(OR(A27="",I27=0),"",IFERROR(DATEDIF(IF(AND(Parametry!$B$39="ANO",B27&lt;&gt;""),_xludf.minifs(Historie!$E$2:$E$2000,Historie!$A$2:$A$2000,A27,Historie!$B$2:$B$2000,B27,Historie!$E$2:$E$2000,"&lt;&gt;"),_xludf.minifs(Historie!$E$2:$E$2000,Historie!$A$2:$A$2000,A27,Historie!$E$2:$E$2000,"&lt;&gt;")),IF(AND(Parametry!$B$39="ANO",B27&lt;&gt;""),_xludf.maxifs(Historie!$E$2:$E$2000,Historie!$A$2:$A$2000,A27,Historie!$B$2:$B$2000,B27,Historie!$E$2:$E$2000,"&lt;&gt;"),_xludf.maxifs(Historie!$E$2:$E$2000,Historie!$A$2:$A$2000,A27,Historie!$E$2:$E$2000,"&lt;&gt;")),"M"),0))</f>
        <v/>
      </c>
      <c r="M27" s="1" t="str">
        <f>IF(A27="","",IFERROR(IF(AND(Parametry!$B$39="ANO",B27&lt;&gt;""),AVERAGEIFS(Historie!$C$2:$C$2000,Historie!$A$2:$A$2000,A27,Historie!$B$2:$B$2000,B27,Historie!$E$2:$E$2000,"&lt;&gt;"),AVERAGEIFS(Historie!$C$2:$C$2000,Historie!$A$2:$A$2000,A27,Historie!$E$2:$E$2000,"&lt;&gt;")),""))</f>
        <v/>
      </c>
      <c r="N27" t="str">
        <f t="shared" ca="1" si="0"/>
        <v/>
      </c>
      <c r="O27" t="str">
        <f t="shared" si="1"/>
        <v/>
      </c>
      <c r="P27" t="str">
        <f t="shared" si="2"/>
        <v/>
      </c>
      <c r="Q27" s="26" t="str">
        <f t="shared" si="3"/>
        <v/>
      </c>
      <c r="R27" t="str">
        <f>IF(OR(A27="",E27=""),"",IF(I27&gt;=Parametry!$B$4,Parametry!$B$9,0))</f>
        <v/>
      </c>
      <c r="S27" t="str">
        <f>IF(OR(A27="",E27=""),"",IF(I27&gt;0,IF(J27&lt;=Parametry!$B$5,Parametry!$B$10,0),0))</f>
        <v/>
      </c>
      <c r="T27" t="str">
        <f>IF(OR(A27="",E27=""),"",IF(I27&gt;0,IF(K27&lt;=Parametry!$B$6,Parametry!$B$11,0),0))</f>
        <v/>
      </c>
      <c r="U27" t="str">
        <f>IF(OR(A27="",E27=""),"",IF(L27&gt;=Parametry!$B$7,Parametry!$B$12,0))</f>
        <v/>
      </c>
      <c r="V27" t="str">
        <f>IF(OR(A27="",E27=""),"",IF(M27&gt;0,IF(Q27&lt;=Parametry!$B$8,Parametry!$B$13,0),0))</f>
        <v/>
      </c>
      <c r="W27" t="str">
        <f>IF(OR(A27="",E27=""),"",IF(P27="ANO",Parametry!$B$14,0))</f>
        <v/>
      </c>
      <c r="X27" t="str">
        <f>IF(OR(A27="",E27=""),"",IF(G27="ANO",Parametry!$B$15,0))</f>
        <v/>
      </c>
      <c r="Y27" t="str">
        <f>IF(OR(A27="",E27=""),"",IF(H27="ANO",Parametry!$B$16,0))</f>
        <v/>
      </c>
      <c r="Z27" t="str">
        <f t="shared" si="4"/>
        <v/>
      </c>
      <c r="AA27" t="str">
        <f>IF(Z27="","",IF(AW27="STOP","Stop",IF(AW27="MANUAL",IF(Z27&gt;=Parametry!$B$19,"Watchlist","Stop"),IF(Z27&gt;=Parametry!$B$17,"Nízké riziko",IF(Z27&gt;=Parametry!$B$18,"Střední riziko",IF(Z27&gt;=Parametry!$B$19,"Watchlist","Stop"))))))</f>
        <v/>
      </c>
      <c r="AB27" s="17" t="str">
        <f>IF(AA27="","",MIN(IF(AA27="Nízké riziko",Parametry!$B$20,IF(AA27="Střední riziko",Parametry!$B$21,IF(AA27="Watchlist",Parametry!$B$22,Parametry!$B$23))),IFERROR(INDEX(Ciselniky!$H$3:$H$10,MATCH(AT27,Ciselniky!$F$3:$F$10,0)),0)))</f>
        <v/>
      </c>
      <c r="AC27" s="17" t="str">
        <f>IF(AA27="","",IF(AA27="Stop",0,IF(AA27="Nízké riziko",Parametry!$B$24,IF(AA27="Střední riziko",Parametry!$B$25,IF(AA27="Watchlist",Parametry!$B$26,0)))+IFERROR(INDEX(Ciselniky!$I$3:$I$10,MATCH(AT27,Ciselniky!$F$3:$F$10,0)),0)))</f>
        <v/>
      </c>
      <c r="AD27" t="str">
        <f t="shared" si="5"/>
        <v/>
      </c>
      <c r="AE27">
        <f t="shared" si="6"/>
        <v>0</v>
      </c>
      <c r="AF27">
        <f t="shared" si="7"/>
        <v>0</v>
      </c>
      <c r="AG27">
        <f>Parametry!$B$28</f>
        <v>5800000</v>
      </c>
      <c r="AH27" s="17" t="str">
        <f t="shared" si="8"/>
        <v/>
      </c>
      <c r="AI27" s="17">
        <f>IFERROR(AF27/Parametry!$B$28,"")</f>
        <v>0</v>
      </c>
      <c r="AJ27" s="17">
        <f>IFERROR(AE27/Parametry!$B$28,"")</f>
        <v>0</v>
      </c>
      <c r="AK27" t="str">
        <f>IF(OR(A27="",E27=""),"",MAX(0,100-IF(Parametry!$B$27="early",0.5,IF(Parametry!$B$27="growth",0.75,1))*(IF(AI27&lt;=Parametry!$B$34,0,IF(AI27&lt;=Parametry!$B$34+0.05,8,20))+IF(AH27&lt;=Parametry!$B$35,0,12)+IF(AJ27&lt;=Parametry!$B$36,0,12))))</f>
        <v/>
      </c>
      <c r="AL27" t="str">
        <f>IF(OR(A27="",E27=""),"",IF(Parametry!$B$27="early",IF(OR(AI27&gt;Parametry!$B$34*1.2,AH27&gt;Parametry!$B$35*1.3),"EARLY STAGE EXCEPTION","OK"),IF(Parametry!$B$27="growth",IF(OR(AI27&gt;Parametry!$B$34*1.35,AH27&gt;Parametry!$B$35*1.4),"RED FLAG","OK"),IF(OR(AI27&gt;Parametry!$B$34*1.2,AH27&gt;Parametry!$B$35*1.3),"RED FLAG","OK"))))</f>
        <v/>
      </c>
      <c r="AM27" t="str">
        <f>IF(OR(A27="",E27=""),"",IF(COUNTIF($A$6:A27,A27)=1,AF27,""))</f>
        <v/>
      </c>
      <c r="AN27" t="str">
        <f t="shared" si="9"/>
        <v/>
      </c>
      <c r="AO27" t="str">
        <f t="shared" si="10"/>
        <v/>
      </c>
      <c r="AP27" t="str">
        <f t="shared" si="11"/>
        <v/>
      </c>
      <c r="AQ27" s="14" t="str">
        <f t="shared" si="12"/>
        <v/>
      </c>
      <c r="AR27" t="str">
        <f t="shared" si="13"/>
        <v/>
      </c>
      <c r="AS27" t="str">
        <f t="shared" si="14"/>
        <v/>
      </c>
      <c r="AT27" s="23" t="str">
        <f>IF(A27="","",IF(COUNTIF(Ciselniky!$L$3:$L$200,A27)=0,"NR",IF(INDEX(Ciselniky!$M$3:$M$200,MATCH(A27,Ciselniky!$L$3:$L$200,0))="","NR",INDEX(Ciselniky!$M$3:$M$200,MATCH(A27,Ciselniky!$L$3:$L$200,0)))))</f>
        <v/>
      </c>
      <c r="AU27" t="str">
        <f>IF(A27="","",IF(AT27="NR","doplňit rating v Ciselniky",IFERROR(IF(INDEX(Ciselniky!$N$3:$N$200,MATCH(A27,Ciselniky!$L$3:$L$200,0))="","anchor master",INDEX(Ciselniky!$N$3:$N$200,MATCH(A27,Ciselniky!$L$3:$L$200,0))),"anchor master")))</f>
        <v/>
      </c>
      <c r="AV27" s="14" t="str">
        <f>IF(AT27="","",IFERROR(INDEX(Ciselniky!$G$3:$G$10,MATCH(AT27,Ciselniky!$F$3:$F$10,0)),0))</f>
        <v/>
      </c>
      <c r="AW27" t="str">
        <f>IF(AT27="","",IFERROR(INDEX(Ciselniky!$J$3:$J$10,MATCH(AT27,Ciselniky!$F$3:$F$10,0)),"MANUAL"))</f>
        <v/>
      </c>
      <c r="AX27" s="14" t="str">
        <f t="shared" si="15"/>
        <v/>
      </c>
      <c r="AY27" s="27" t="str">
        <f>IF(OR(A27="",E27=""),"",AV27*Parametry!$B$41)</f>
        <v/>
      </c>
      <c r="AZ27" s="27" t="str">
        <f>IF(OR(A27="",E27=""),"",AX27*Parametry!$B$42)</f>
        <v/>
      </c>
      <c r="BA27" s="27" t="str">
        <f>IF(OR(A27="",E27=""),"",AK27*Parametry!$B$43)</f>
        <v/>
      </c>
      <c r="BB27" s="14" t="str">
        <f>IF(OR(A27="",E27=""),"",IF(AW27="STOP",-100,IF(AT27="BB",Parametry!$B$47,IF(AT27="NR",Parametry!$B$48,0))))</f>
        <v/>
      </c>
    </row>
    <row r="28" spans="1:54" ht="21.75" customHeight="1" x14ac:dyDescent="0.2">
      <c r="A28" s="23"/>
      <c r="B28" s="23"/>
      <c r="C28" s="23"/>
      <c r="D28" s="23"/>
      <c r="E28" s="23"/>
      <c r="F28" s="23"/>
      <c r="G28" s="23"/>
      <c r="H28" s="23"/>
      <c r="I28" t="str">
        <f>IF(A28="","",IF(AND(Parametry!$B$39="ANO",B28&lt;&gt;""),COUNTIFS(Historie!$A$2:$A$2000,A28,Historie!$B$2:$B$2000,B28,Historie!$E$2:$E$2000,"&lt;&gt;"),COUNTIFS(Historie!$A$2:$A$2000,A28,Historie!$E$2:$E$2000,"&lt;&gt;")))</f>
        <v/>
      </c>
      <c r="J28" s="14" t="str">
        <f>IF(I28=0,"",IFERROR(IF(AND(Parametry!$B$39="ANO",B28&lt;&gt;""),AVERAGEIFS(Historie!$F$2:$F$2000,Historie!$A$2:$A$2000,A28,Historie!$B$2:$B$2000,B28,Historie!$E$2:$E$2000,"&lt;&gt;"),AVERAGEIFS(Historie!$F$2:$F$2000,Historie!$A$2:$A$2000,A28,Historie!$E$2:$E$2000,"&lt;&gt;")),""))</f>
        <v/>
      </c>
      <c r="K28" s="25">
        <f>IF(I28=0,"",IFERROR(IF(AND(Parametry!$B$39="ANO",B28&lt;&gt;""),COUNTIFS(Historie!$A$2:$A$2000,A28,Historie!$B$2:$B$2000,B28,Historie!$E$2:$E$2000,"&lt;&gt;",Historie!$F$2:$F$2000,"&gt;0")/I28,COUNTIFS(Historie!$A$2:$A$2000,A28,Historie!$E$2:$E$2000,"&lt;&gt;",Historie!$F$2:$F$2000,"&gt;0")/I28),0))</f>
        <v>0</v>
      </c>
      <c r="L28" t="str">
        <f>IF(OR(A28="",I28=0),"",IFERROR(DATEDIF(IF(AND(Parametry!$B$39="ANO",B28&lt;&gt;""),_xludf.minifs(Historie!$E$2:$E$2000,Historie!$A$2:$A$2000,A28,Historie!$B$2:$B$2000,B28,Historie!$E$2:$E$2000,"&lt;&gt;"),_xludf.minifs(Historie!$E$2:$E$2000,Historie!$A$2:$A$2000,A28,Historie!$E$2:$E$2000,"&lt;&gt;")),IF(AND(Parametry!$B$39="ANO",B28&lt;&gt;""),_xludf.maxifs(Historie!$E$2:$E$2000,Historie!$A$2:$A$2000,A28,Historie!$B$2:$B$2000,B28,Historie!$E$2:$E$2000,"&lt;&gt;"),_xludf.maxifs(Historie!$E$2:$E$2000,Historie!$A$2:$A$2000,A28,Historie!$E$2:$E$2000,"&lt;&gt;")),"M"),0))</f>
        <v/>
      </c>
      <c r="M28" s="1" t="str">
        <f>IF(A28="","",IFERROR(IF(AND(Parametry!$B$39="ANO",B28&lt;&gt;""),AVERAGEIFS(Historie!$C$2:$C$2000,Historie!$A$2:$A$2000,A28,Historie!$B$2:$B$2000,B28,Historie!$E$2:$E$2000,"&lt;&gt;"),AVERAGEIFS(Historie!$C$2:$C$2000,Historie!$A$2:$A$2000,A28,Historie!$E$2:$E$2000,"&lt;&gt;")),""))</f>
        <v/>
      </c>
      <c r="N28" t="str">
        <f t="shared" ca="1" si="0"/>
        <v/>
      </c>
      <c r="O28" t="str">
        <f t="shared" si="1"/>
        <v/>
      </c>
      <c r="P28" t="str">
        <f t="shared" si="2"/>
        <v/>
      </c>
      <c r="Q28" s="26" t="str">
        <f t="shared" si="3"/>
        <v/>
      </c>
      <c r="R28" t="str">
        <f>IF(OR(A28="",E28=""),"",IF(I28&gt;=Parametry!$B$4,Parametry!$B$9,0))</f>
        <v/>
      </c>
      <c r="S28" t="str">
        <f>IF(OR(A28="",E28=""),"",IF(I28&gt;0,IF(J28&lt;=Parametry!$B$5,Parametry!$B$10,0),0))</f>
        <v/>
      </c>
      <c r="T28" t="str">
        <f>IF(OR(A28="",E28=""),"",IF(I28&gt;0,IF(K28&lt;=Parametry!$B$6,Parametry!$B$11,0),0))</f>
        <v/>
      </c>
      <c r="U28" t="str">
        <f>IF(OR(A28="",E28=""),"",IF(L28&gt;=Parametry!$B$7,Parametry!$B$12,0))</f>
        <v/>
      </c>
      <c r="V28" t="str">
        <f>IF(OR(A28="",E28=""),"",IF(M28&gt;0,IF(Q28&lt;=Parametry!$B$8,Parametry!$B$13,0),0))</f>
        <v/>
      </c>
      <c r="W28" t="str">
        <f>IF(OR(A28="",E28=""),"",IF(P28="ANO",Parametry!$B$14,0))</f>
        <v/>
      </c>
      <c r="X28" t="str">
        <f>IF(OR(A28="",E28=""),"",IF(G28="ANO",Parametry!$B$15,0))</f>
        <v/>
      </c>
      <c r="Y28" t="str">
        <f>IF(OR(A28="",E28=""),"",IF(H28="ANO",Parametry!$B$16,0))</f>
        <v/>
      </c>
      <c r="Z28" t="str">
        <f t="shared" si="4"/>
        <v/>
      </c>
      <c r="AA28" t="str">
        <f>IF(Z28="","",IF(AW28="STOP","Stop",IF(AW28="MANUAL",IF(Z28&gt;=Parametry!$B$19,"Watchlist","Stop"),IF(Z28&gt;=Parametry!$B$17,"Nízké riziko",IF(Z28&gt;=Parametry!$B$18,"Střední riziko",IF(Z28&gt;=Parametry!$B$19,"Watchlist","Stop"))))))</f>
        <v/>
      </c>
      <c r="AB28" s="17" t="str">
        <f>IF(AA28="","",MIN(IF(AA28="Nízké riziko",Parametry!$B$20,IF(AA28="Střední riziko",Parametry!$B$21,IF(AA28="Watchlist",Parametry!$B$22,Parametry!$B$23))),IFERROR(INDEX(Ciselniky!$H$3:$H$10,MATCH(AT28,Ciselniky!$F$3:$F$10,0)),0)))</f>
        <v/>
      </c>
      <c r="AC28" s="17" t="str">
        <f>IF(AA28="","",IF(AA28="Stop",0,IF(AA28="Nízké riziko",Parametry!$B$24,IF(AA28="Střední riziko",Parametry!$B$25,IF(AA28="Watchlist",Parametry!$B$26,0)))+IFERROR(INDEX(Ciselniky!$I$3:$I$10,MATCH(AT28,Ciselniky!$F$3:$F$10,0)),0)))</f>
        <v/>
      </c>
      <c r="AD28" t="str">
        <f t="shared" si="5"/>
        <v/>
      </c>
      <c r="AE28">
        <f t="shared" si="6"/>
        <v>0</v>
      </c>
      <c r="AF28">
        <f t="shared" si="7"/>
        <v>0</v>
      </c>
      <c r="AG28">
        <f>Parametry!$B$28</f>
        <v>5800000</v>
      </c>
      <c r="AH28" s="17" t="str">
        <f t="shared" si="8"/>
        <v/>
      </c>
      <c r="AI28" s="17">
        <f>IFERROR(AF28/Parametry!$B$28,"")</f>
        <v>0</v>
      </c>
      <c r="AJ28" s="17">
        <f>IFERROR(AE28/Parametry!$B$28,"")</f>
        <v>0</v>
      </c>
      <c r="AK28" t="str">
        <f>IF(OR(A28="",E28=""),"",MAX(0,100-IF(Parametry!$B$27="early",0.5,IF(Parametry!$B$27="growth",0.75,1))*(IF(AI28&lt;=Parametry!$B$34,0,IF(AI28&lt;=Parametry!$B$34+0.05,8,20))+IF(AH28&lt;=Parametry!$B$35,0,12)+IF(AJ28&lt;=Parametry!$B$36,0,12))))</f>
        <v/>
      </c>
      <c r="AL28" t="str">
        <f>IF(OR(A28="",E28=""),"",IF(Parametry!$B$27="early",IF(OR(AI28&gt;Parametry!$B$34*1.2,AH28&gt;Parametry!$B$35*1.3),"EARLY STAGE EXCEPTION","OK"),IF(Parametry!$B$27="growth",IF(OR(AI28&gt;Parametry!$B$34*1.35,AH28&gt;Parametry!$B$35*1.4),"RED FLAG","OK"),IF(OR(AI28&gt;Parametry!$B$34*1.2,AH28&gt;Parametry!$B$35*1.3),"RED FLAG","OK"))))</f>
        <v/>
      </c>
      <c r="AM28" t="str">
        <f>IF(OR(A28="",E28=""),"",IF(COUNTIF($A$6:A28,A28)=1,AF28,""))</f>
        <v/>
      </c>
      <c r="AN28" t="str">
        <f t="shared" si="9"/>
        <v/>
      </c>
      <c r="AO28" t="str">
        <f t="shared" si="10"/>
        <v/>
      </c>
      <c r="AP28" t="str">
        <f t="shared" si="11"/>
        <v/>
      </c>
      <c r="AQ28" s="14" t="str">
        <f t="shared" si="12"/>
        <v/>
      </c>
      <c r="AR28" t="str">
        <f t="shared" si="13"/>
        <v/>
      </c>
      <c r="AS28" t="str">
        <f t="shared" si="14"/>
        <v/>
      </c>
      <c r="AT28" s="23" t="str">
        <f>IF(A28="","",IF(COUNTIF(Ciselniky!$L$3:$L$200,A28)=0,"NR",IF(INDEX(Ciselniky!$M$3:$M$200,MATCH(A28,Ciselniky!$L$3:$L$200,0))="","NR",INDEX(Ciselniky!$M$3:$M$200,MATCH(A28,Ciselniky!$L$3:$L$200,0)))))</f>
        <v/>
      </c>
      <c r="AU28" t="str">
        <f>IF(A28="","",IF(AT28="NR","doplňit rating v Ciselniky",IFERROR(IF(INDEX(Ciselniky!$N$3:$N$200,MATCH(A28,Ciselniky!$L$3:$L$200,0))="","anchor master",INDEX(Ciselniky!$N$3:$N$200,MATCH(A28,Ciselniky!$L$3:$L$200,0))),"anchor master")))</f>
        <v/>
      </c>
      <c r="AV28" s="14" t="str">
        <f>IF(AT28="","",IFERROR(INDEX(Ciselniky!$G$3:$G$10,MATCH(AT28,Ciselniky!$F$3:$F$10,0)),0))</f>
        <v/>
      </c>
      <c r="AW28" t="str">
        <f>IF(AT28="","",IFERROR(INDEX(Ciselniky!$J$3:$J$10,MATCH(AT28,Ciselniky!$F$3:$F$10,0)),"MANUAL"))</f>
        <v/>
      </c>
      <c r="AX28" s="14" t="str">
        <f t="shared" si="15"/>
        <v/>
      </c>
      <c r="AY28" s="27" t="str">
        <f>IF(OR(A28="",E28=""),"",AV28*Parametry!$B$41)</f>
        <v/>
      </c>
      <c r="AZ28" s="27" t="str">
        <f>IF(OR(A28="",E28=""),"",AX28*Parametry!$B$42)</f>
        <v/>
      </c>
      <c r="BA28" s="27" t="str">
        <f>IF(OR(A28="",E28=""),"",AK28*Parametry!$B$43)</f>
        <v/>
      </c>
      <c r="BB28" s="14" t="str">
        <f>IF(OR(A28="",E28=""),"",IF(AW28="STOP",-100,IF(AT28="BB",Parametry!$B$47,IF(AT28="NR",Parametry!$B$48,0))))</f>
        <v/>
      </c>
    </row>
    <row r="29" spans="1:54" ht="21.75" customHeight="1" x14ac:dyDescent="0.2">
      <c r="A29" s="23"/>
      <c r="B29" s="23"/>
      <c r="C29" s="23"/>
      <c r="D29" s="23"/>
      <c r="E29" s="23"/>
      <c r="F29" s="23"/>
      <c r="G29" s="23"/>
      <c r="H29" s="23"/>
      <c r="I29" t="str">
        <f>IF(A29="","",IF(AND(Parametry!$B$39="ANO",B29&lt;&gt;""),COUNTIFS(Historie!$A$2:$A$2000,A29,Historie!$B$2:$B$2000,B29,Historie!$E$2:$E$2000,"&lt;&gt;"),COUNTIFS(Historie!$A$2:$A$2000,A29,Historie!$E$2:$E$2000,"&lt;&gt;")))</f>
        <v/>
      </c>
      <c r="J29" s="14" t="str">
        <f>IF(I29=0,"",IFERROR(IF(AND(Parametry!$B$39="ANO",B29&lt;&gt;""),AVERAGEIFS(Historie!$F$2:$F$2000,Historie!$A$2:$A$2000,A29,Historie!$B$2:$B$2000,B29,Historie!$E$2:$E$2000,"&lt;&gt;"),AVERAGEIFS(Historie!$F$2:$F$2000,Historie!$A$2:$A$2000,A29,Historie!$E$2:$E$2000,"&lt;&gt;")),""))</f>
        <v/>
      </c>
      <c r="K29" s="25">
        <f>IF(I29=0,"",IFERROR(IF(AND(Parametry!$B$39="ANO",B29&lt;&gt;""),COUNTIFS(Historie!$A$2:$A$2000,A29,Historie!$B$2:$B$2000,B29,Historie!$E$2:$E$2000,"&lt;&gt;",Historie!$F$2:$F$2000,"&gt;0")/I29,COUNTIFS(Historie!$A$2:$A$2000,A29,Historie!$E$2:$E$2000,"&lt;&gt;",Historie!$F$2:$F$2000,"&gt;0")/I29),0))</f>
        <v>0</v>
      </c>
      <c r="L29" t="str">
        <f>IF(OR(A29="",I29=0),"",IFERROR(DATEDIF(IF(AND(Parametry!$B$39="ANO",B29&lt;&gt;""),_xludf.minifs(Historie!$E$2:$E$2000,Historie!$A$2:$A$2000,A29,Historie!$B$2:$B$2000,B29,Historie!$E$2:$E$2000,"&lt;&gt;"),_xludf.minifs(Historie!$E$2:$E$2000,Historie!$A$2:$A$2000,A29,Historie!$E$2:$E$2000,"&lt;&gt;")),IF(AND(Parametry!$B$39="ANO",B29&lt;&gt;""),_xludf.maxifs(Historie!$E$2:$E$2000,Historie!$A$2:$A$2000,A29,Historie!$B$2:$B$2000,B29,Historie!$E$2:$E$2000,"&lt;&gt;"),_xludf.maxifs(Historie!$E$2:$E$2000,Historie!$A$2:$A$2000,A29,Historie!$E$2:$E$2000,"&lt;&gt;")),"M"),0))</f>
        <v/>
      </c>
      <c r="M29" s="1" t="str">
        <f>IF(A29="","",IFERROR(IF(AND(Parametry!$B$39="ANO",B29&lt;&gt;""),AVERAGEIFS(Historie!$C$2:$C$2000,Historie!$A$2:$A$2000,A29,Historie!$B$2:$B$2000,B29,Historie!$E$2:$E$2000,"&lt;&gt;"),AVERAGEIFS(Historie!$C$2:$C$2000,Historie!$A$2:$A$2000,A29,Historie!$E$2:$E$2000,"&lt;&gt;")),""))</f>
        <v/>
      </c>
      <c r="N29" t="str">
        <f t="shared" ca="1" si="0"/>
        <v/>
      </c>
      <c r="O29" t="str">
        <f t="shared" si="1"/>
        <v/>
      </c>
      <c r="P29" t="str">
        <f t="shared" si="2"/>
        <v/>
      </c>
      <c r="Q29" s="26" t="str">
        <f t="shared" si="3"/>
        <v/>
      </c>
      <c r="R29" t="str">
        <f>IF(OR(A29="",E29=""),"",IF(I29&gt;=Parametry!$B$4,Parametry!$B$9,0))</f>
        <v/>
      </c>
      <c r="S29" t="str">
        <f>IF(OR(A29="",E29=""),"",IF(I29&gt;0,IF(J29&lt;=Parametry!$B$5,Parametry!$B$10,0),0))</f>
        <v/>
      </c>
      <c r="T29" t="str">
        <f>IF(OR(A29="",E29=""),"",IF(I29&gt;0,IF(K29&lt;=Parametry!$B$6,Parametry!$B$11,0),0))</f>
        <v/>
      </c>
      <c r="U29" t="str">
        <f>IF(OR(A29="",E29=""),"",IF(L29&gt;=Parametry!$B$7,Parametry!$B$12,0))</f>
        <v/>
      </c>
      <c r="V29" t="str">
        <f>IF(OR(A29="",E29=""),"",IF(M29&gt;0,IF(Q29&lt;=Parametry!$B$8,Parametry!$B$13,0),0))</f>
        <v/>
      </c>
      <c r="W29" t="str">
        <f>IF(OR(A29="",E29=""),"",IF(P29="ANO",Parametry!$B$14,0))</f>
        <v/>
      </c>
      <c r="X29" t="str">
        <f>IF(OR(A29="",E29=""),"",IF(G29="ANO",Parametry!$B$15,0))</f>
        <v/>
      </c>
      <c r="Y29" t="str">
        <f>IF(OR(A29="",E29=""),"",IF(H29="ANO",Parametry!$B$16,0))</f>
        <v/>
      </c>
      <c r="Z29" t="str">
        <f t="shared" si="4"/>
        <v/>
      </c>
      <c r="AA29" t="str">
        <f>IF(Z29="","",IF(AW29="STOP","Stop",IF(AW29="MANUAL",IF(Z29&gt;=Parametry!$B$19,"Watchlist","Stop"),IF(Z29&gt;=Parametry!$B$17,"Nízké riziko",IF(Z29&gt;=Parametry!$B$18,"Střední riziko",IF(Z29&gt;=Parametry!$B$19,"Watchlist","Stop"))))))</f>
        <v/>
      </c>
      <c r="AB29" s="17" t="str">
        <f>IF(AA29="","",MIN(IF(AA29="Nízké riziko",Parametry!$B$20,IF(AA29="Střední riziko",Parametry!$B$21,IF(AA29="Watchlist",Parametry!$B$22,Parametry!$B$23))),IFERROR(INDEX(Ciselniky!$H$3:$H$10,MATCH(AT29,Ciselniky!$F$3:$F$10,0)),0)))</f>
        <v/>
      </c>
      <c r="AC29" s="17" t="str">
        <f>IF(AA29="","",IF(AA29="Stop",0,IF(AA29="Nízké riziko",Parametry!$B$24,IF(AA29="Střední riziko",Parametry!$B$25,IF(AA29="Watchlist",Parametry!$B$26,0)))+IFERROR(INDEX(Ciselniky!$I$3:$I$10,MATCH(AT29,Ciselniky!$F$3:$F$10,0)),0)))</f>
        <v/>
      </c>
      <c r="AD29" t="str">
        <f t="shared" si="5"/>
        <v/>
      </c>
      <c r="AE29">
        <f t="shared" si="6"/>
        <v>0</v>
      </c>
      <c r="AF29">
        <f t="shared" si="7"/>
        <v>0</v>
      </c>
      <c r="AG29">
        <f>Parametry!$B$28</f>
        <v>5800000</v>
      </c>
      <c r="AH29" s="17" t="str">
        <f t="shared" si="8"/>
        <v/>
      </c>
      <c r="AI29" s="17">
        <f>IFERROR(AF29/Parametry!$B$28,"")</f>
        <v>0</v>
      </c>
      <c r="AJ29" s="17">
        <f>IFERROR(AE29/Parametry!$B$28,"")</f>
        <v>0</v>
      </c>
      <c r="AK29" t="str">
        <f>IF(OR(A29="",E29=""),"",MAX(0,100-IF(Parametry!$B$27="early",0.5,IF(Parametry!$B$27="growth",0.75,1))*(IF(AI29&lt;=Parametry!$B$34,0,IF(AI29&lt;=Parametry!$B$34+0.05,8,20))+IF(AH29&lt;=Parametry!$B$35,0,12)+IF(AJ29&lt;=Parametry!$B$36,0,12))))</f>
        <v/>
      </c>
      <c r="AL29" t="str">
        <f>IF(OR(A29="",E29=""),"",IF(Parametry!$B$27="early",IF(OR(AI29&gt;Parametry!$B$34*1.2,AH29&gt;Parametry!$B$35*1.3),"EARLY STAGE EXCEPTION","OK"),IF(Parametry!$B$27="growth",IF(OR(AI29&gt;Parametry!$B$34*1.35,AH29&gt;Parametry!$B$35*1.4),"RED FLAG","OK"),IF(OR(AI29&gt;Parametry!$B$34*1.2,AH29&gt;Parametry!$B$35*1.3),"RED FLAG","OK"))))</f>
        <v/>
      </c>
      <c r="AM29" t="str">
        <f>IF(OR(A29="",E29=""),"",IF(COUNTIF($A$6:A29,A29)=1,AF29,""))</f>
        <v/>
      </c>
      <c r="AN29" t="str">
        <f t="shared" si="9"/>
        <v/>
      </c>
      <c r="AO29" t="str">
        <f t="shared" si="10"/>
        <v/>
      </c>
      <c r="AP29" t="str">
        <f t="shared" si="11"/>
        <v/>
      </c>
      <c r="AQ29" s="14" t="str">
        <f t="shared" si="12"/>
        <v/>
      </c>
      <c r="AR29" t="str">
        <f t="shared" si="13"/>
        <v/>
      </c>
      <c r="AS29" t="str">
        <f t="shared" si="14"/>
        <v/>
      </c>
      <c r="AT29" s="23" t="str">
        <f>IF(A29="","",IF(COUNTIF(Ciselniky!$L$3:$L$200,A29)=0,"NR",IF(INDEX(Ciselniky!$M$3:$M$200,MATCH(A29,Ciselniky!$L$3:$L$200,0))="","NR",INDEX(Ciselniky!$M$3:$M$200,MATCH(A29,Ciselniky!$L$3:$L$200,0)))))</f>
        <v/>
      </c>
      <c r="AU29" t="str">
        <f>IF(A29="","",IF(AT29="NR","doplňit rating v Ciselniky",IFERROR(IF(INDEX(Ciselniky!$N$3:$N$200,MATCH(A29,Ciselniky!$L$3:$L$200,0))="","anchor master",INDEX(Ciselniky!$N$3:$N$200,MATCH(A29,Ciselniky!$L$3:$L$200,0))),"anchor master")))</f>
        <v/>
      </c>
      <c r="AV29" s="14" t="str">
        <f>IF(AT29="","",IFERROR(INDEX(Ciselniky!$G$3:$G$10,MATCH(AT29,Ciselniky!$F$3:$F$10,0)),0))</f>
        <v/>
      </c>
      <c r="AW29" t="str">
        <f>IF(AT29="","",IFERROR(INDEX(Ciselniky!$J$3:$J$10,MATCH(AT29,Ciselniky!$F$3:$F$10,0)),"MANUAL"))</f>
        <v/>
      </c>
      <c r="AX29" s="14" t="str">
        <f t="shared" si="15"/>
        <v/>
      </c>
      <c r="AY29" s="27" t="str">
        <f>IF(OR(A29="",E29=""),"",AV29*Parametry!$B$41)</f>
        <v/>
      </c>
      <c r="AZ29" s="27" t="str">
        <f>IF(OR(A29="",E29=""),"",AX29*Parametry!$B$42)</f>
        <v/>
      </c>
      <c r="BA29" s="27" t="str">
        <f>IF(OR(A29="",E29=""),"",AK29*Parametry!$B$43)</f>
        <v/>
      </c>
      <c r="BB29" s="14" t="str">
        <f>IF(OR(A29="",E29=""),"",IF(AW29="STOP",-100,IF(AT29="BB",Parametry!$B$47,IF(AT29="NR",Parametry!$B$48,0))))</f>
        <v/>
      </c>
    </row>
    <row r="30" spans="1:54" ht="21.75" customHeight="1" x14ac:dyDescent="0.2">
      <c r="A30" s="23"/>
      <c r="B30" s="23"/>
      <c r="C30" s="23"/>
      <c r="D30" s="23"/>
      <c r="E30" s="23"/>
      <c r="F30" s="23"/>
      <c r="G30" s="23"/>
      <c r="H30" s="23"/>
      <c r="I30" t="str">
        <f>IF(A30="","",IF(AND(Parametry!$B$39="ANO",B30&lt;&gt;""),COUNTIFS(Historie!$A$2:$A$2000,A30,Historie!$B$2:$B$2000,B30,Historie!$E$2:$E$2000,"&lt;&gt;"),COUNTIFS(Historie!$A$2:$A$2000,A30,Historie!$E$2:$E$2000,"&lt;&gt;")))</f>
        <v/>
      </c>
      <c r="J30" s="14" t="str">
        <f>IF(I30=0,"",IFERROR(IF(AND(Parametry!$B$39="ANO",B30&lt;&gt;""),AVERAGEIFS(Historie!$F$2:$F$2000,Historie!$A$2:$A$2000,A30,Historie!$B$2:$B$2000,B30,Historie!$E$2:$E$2000,"&lt;&gt;"),AVERAGEIFS(Historie!$F$2:$F$2000,Historie!$A$2:$A$2000,A30,Historie!$E$2:$E$2000,"&lt;&gt;")),""))</f>
        <v/>
      </c>
      <c r="K30" s="25">
        <f>IF(I30=0,"",IFERROR(IF(AND(Parametry!$B$39="ANO",B30&lt;&gt;""),COUNTIFS(Historie!$A$2:$A$2000,A30,Historie!$B$2:$B$2000,B30,Historie!$E$2:$E$2000,"&lt;&gt;",Historie!$F$2:$F$2000,"&gt;0")/I30,COUNTIFS(Historie!$A$2:$A$2000,A30,Historie!$E$2:$E$2000,"&lt;&gt;",Historie!$F$2:$F$2000,"&gt;0")/I30),0))</f>
        <v>0</v>
      </c>
      <c r="L30" t="str">
        <f>IF(OR(A30="",I30=0),"",IFERROR(DATEDIF(IF(AND(Parametry!$B$39="ANO",B30&lt;&gt;""),_xludf.minifs(Historie!$E$2:$E$2000,Historie!$A$2:$A$2000,A30,Historie!$B$2:$B$2000,B30,Historie!$E$2:$E$2000,"&lt;&gt;"),_xludf.minifs(Historie!$E$2:$E$2000,Historie!$A$2:$A$2000,A30,Historie!$E$2:$E$2000,"&lt;&gt;")),IF(AND(Parametry!$B$39="ANO",B30&lt;&gt;""),_xludf.maxifs(Historie!$E$2:$E$2000,Historie!$A$2:$A$2000,A30,Historie!$B$2:$B$2000,B30,Historie!$E$2:$E$2000,"&lt;&gt;"),_xludf.maxifs(Historie!$E$2:$E$2000,Historie!$A$2:$A$2000,A30,Historie!$E$2:$E$2000,"&lt;&gt;")),"M"),0))</f>
        <v/>
      </c>
      <c r="M30" s="1" t="str">
        <f>IF(A30="","",IFERROR(IF(AND(Parametry!$B$39="ANO",B30&lt;&gt;""),AVERAGEIFS(Historie!$C$2:$C$2000,Historie!$A$2:$A$2000,A30,Historie!$B$2:$B$2000,B30,Historie!$E$2:$E$2000,"&lt;&gt;"),AVERAGEIFS(Historie!$C$2:$C$2000,Historie!$A$2:$A$2000,A30,Historie!$E$2:$E$2000,"&lt;&gt;")),""))</f>
        <v/>
      </c>
      <c r="N30" t="str">
        <f t="shared" ca="1" si="0"/>
        <v/>
      </c>
      <c r="O30" t="str">
        <f t="shared" si="1"/>
        <v/>
      </c>
      <c r="P30" t="str">
        <f t="shared" si="2"/>
        <v/>
      </c>
      <c r="Q30" s="26" t="str">
        <f t="shared" si="3"/>
        <v/>
      </c>
      <c r="R30" t="str">
        <f>IF(OR(A30="",E30=""),"",IF(I30&gt;=Parametry!$B$4,Parametry!$B$9,0))</f>
        <v/>
      </c>
      <c r="S30" t="str">
        <f>IF(OR(A30="",E30=""),"",IF(I30&gt;0,IF(J30&lt;=Parametry!$B$5,Parametry!$B$10,0),0))</f>
        <v/>
      </c>
      <c r="T30" t="str">
        <f>IF(OR(A30="",E30=""),"",IF(I30&gt;0,IF(K30&lt;=Parametry!$B$6,Parametry!$B$11,0),0))</f>
        <v/>
      </c>
      <c r="U30" t="str">
        <f>IF(OR(A30="",E30=""),"",IF(L30&gt;=Parametry!$B$7,Parametry!$B$12,0))</f>
        <v/>
      </c>
      <c r="V30" t="str">
        <f>IF(OR(A30="",E30=""),"",IF(M30&gt;0,IF(Q30&lt;=Parametry!$B$8,Parametry!$B$13,0),0))</f>
        <v/>
      </c>
      <c r="W30" t="str">
        <f>IF(OR(A30="",E30=""),"",IF(P30="ANO",Parametry!$B$14,0))</f>
        <v/>
      </c>
      <c r="X30" t="str">
        <f>IF(OR(A30="",E30=""),"",IF(G30="ANO",Parametry!$B$15,0))</f>
        <v/>
      </c>
      <c r="Y30" t="str">
        <f>IF(OR(A30="",E30=""),"",IF(H30="ANO",Parametry!$B$16,0))</f>
        <v/>
      </c>
      <c r="Z30" t="str">
        <f t="shared" si="4"/>
        <v/>
      </c>
      <c r="AA30" t="str">
        <f>IF(Z30="","",IF(AW30="STOP","Stop",IF(AW30="MANUAL",IF(Z30&gt;=Parametry!$B$19,"Watchlist","Stop"),IF(Z30&gt;=Parametry!$B$17,"Nízké riziko",IF(Z30&gt;=Parametry!$B$18,"Střední riziko",IF(Z30&gt;=Parametry!$B$19,"Watchlist","Stop"))))))</f>
        <v/>
      </c>
      <c r="AB30" s="17" t="str">
        <f>IF(AA30="","",MIN(IF(AA30="Nízké riziko",Parametry!$B$20,IF(AA30="Střední riziko",Parametry!$B$21,IF(AA30="Watchlist",Parametry!$B$22,Parametry!$B$23))),IFERROR(INDEX(Ciselniky!$H$3:$H$10,MATCH(AT30,Ciselniky!$F$3:$F$10,0)),0)))</f>
        <v/>
      </c>
      <c r="AC30" s="17" t="str">
        <f>IF(AA30="","",IF(AA30="Stop",0,IF(AA30="Nízké riziko",Parametry!$B$24,IF(AA30="Střední riziko",Parametry!$B$25,IF(AA30="Watchlist",Parametry!$B$26,0)))+IFERROR(INDEX(Ciselniky!$I$3:$I$10,MATCH(AT30,Ciselniky!$F$3:$F$10,0)),0)))</f>
        <v/>
      </c>
      <c r="AD30" t="str">
        <f t="shared" si="5"/>
        <v/>
      </c>
      <c r="AE30">
        <f t="shared" si="6"/>
        <v>0</v>
      </c>
      <c r="AF30">
        <f t="shared" si="7"/>
        <v>0</v>
      </c>
      <c r="AG30">
        <f>Parametry!$B$28</f>
        <v>5800000</v>
      </c>
      <c r="AH30" s="17" t="str">
        <f t="shared" si="8"/>
        <v/>
      </c>
      <c r="AI30" s="17">
        <f>IFERROR(AF30/Parametry!$B$28,"")</f>
        <v>0</v>
      </c>
      <c r="AJ30" s="17">
        <f>IFERROR(AE30/Parametry!$B$28,"")</f>
        <v>0</v>
      </c>
      <c r="AK30" t="str">
        <f>IF(OR(A30="",E30=""),"",MAX(0,100-IF(Parametry!$B$27="early",0.5,IF(Parametry!$B$27="growth",0.75,1))*(IF(AI30&lt;=Parametry!$B$34,0,IF(AI30&lt;=Parametry!$B$34+0.05,8,20))+IF(AH30&lt;=Parametry!$B$35,0,12)+IF(AJ30&lt;=Parametry!$B$36,0,12))))</f>
        <v/>
      </c>
      <c r="AL30" t="str">
        <f>IF(OR(A30="",E30=""),"",IF(Parametry!$B$27="early",IF(OR(AI30&gt;Parametry!$B$34*1.2,AH30&gt;Parametry!$B$35*1.3),"EARLY STAGE EXCEPTION","OK"),IF(Parametry!$B$27="growth",IF(OR(AI30&gt;Parametry!$B$34*1.35,AH30&gt;Parametry!$B$35*1.4),"RED FLAG","OK"),IF(OR(AI30&gt;Parametry!$B$34*1.2,AH30&gt;Parametry!$B$35*1.3),"RED FLAG","OK"))))</f>
        <v/>
      </c>
      <c r="AM30" t="str">
        <f>IF(OR(A30="",E30=""),"",IF(COUNTIF($A$6:A30,A30)=1,AF30,""))</f>
        <v/>
      </c>
      <c r="AN30" t="str">
        <f t="shared" si="9"/>
        <v/>
      </c>
      <c r="AO30" t="str">
        <f t="shared" si="10"/>
        <v/>
      </c>
      <c r="AP30" t="str">
        <f t="shared" si="11"/>
        <v/>
      </c>
      <c r="AQ30" s="14" t="str">
        <f t="shared" si="12"/>
        <v/>
      </c>
      <c r="AR30" t="str">
        <f t="shared" si="13"/>
        <v/>
      </c>
      <c r="AS30" t="str">
        <f t="shared" si="14"/>
        <v/>
      </c>
      <c r="AT30" s="23" t="str">
        <f>IF(A30="","",IF(COUNTIF(Ciselniky!$L$3:$L$200,A30)=0,"NR",IF(INDEX(Ciselniky!$M$3:$M$200,MATCH(A30,Ciselniky!$L$3:$L$200,0))="","NR",INDEX(Ciselniky!$M$3:$M$200,MATCH(A30,Ciselniky!$L$3:$L$200,0)))))</f>
        <v/>
      </c>
      <c r="AU30" t="str">
        <f>IF(A30="","",IF(AT30="NR","doplňit rating v Ciselniky",IFERROR(IF(INDEX(Ciselniky!$N$3:$N$200,MATCH(A30,Ciselniky!$L$3:$L$200,0))="","anchor master",INDEX(Ciselniky!$N$3:$N$200,MATCH(A30,Ciselniky!$L$3:$L$200,0))),"anchor master")))</f>
        <v/>
      </c>
      <c r="AV30" s="14" t="str">
        <f>IF(AT30="","",IFERROR(INDEX(Ciselniky!$G$3:$G$10,MATCH(AT30,Ciselniky!$F$3:$F$10,0)),0))</f>
        <v/>
      </c>
      <c r="AW30" t="str">
        <f>IF(AT30="","",IFERROR(INDEX(Ciselniky!$J$3:$J$10,MATCH(AT30,Ciselniky!$F$3:$F$10,0)),"MANUAL"))</f>
        <v/>
      </c>
      <c r="AX30" s="14" t="str">
        <f t="shared" si="15"/>
        <v/>
      </c>
      <c r="AY30" s="27" t="str">
        <f>IF(OR(A30="",E30=""),"",AV30*Parametry!$B$41)</f>
        <v/>
      </c>
      <c r="AZ30" s="27" t="str">
        <f>IF(OR(A30="",E30=""),"",AX30*Parametry!$B$42)</f>
        <v/>
      </c>
      <c r="BA30" s="27" t="str">
        <f>IF(OR(A30="",E30=""),"",AK30*Parametry!$B$43)</f>
        <v/>
      </c>
      <c r="BB30" s="14" t="str">
        <f>IF(OR(A30="",E30=""),"",IF(AW30="STOP",-100,IF(AT30="BB",Parametry!$B$47,IF(AT30="NR",Parametry!$B$48,0))))</f>
        <v/>
      </c>
    </row>
    <row r="31" spans="1:54" ht="21.75" customHeight="1" x14ac:dyDescent="0.2">
      <c r="A31" s="23"/>
      <c r="B31" s="23"/>
      <c r="C31" s="23"/>
      <c r="D31" s="23"/>
      <c r="E31" s="23"/>
      <c r="F31" s="23"/>
      <c r="G31" s="23"/>
      <c r="H31" s="23"/>
      <c r="I31" t="str">
        <f>IF(A31="","",IF(AND(Parametry!$B$39="ANO",B31&lt;&gt;""),COUNTIFS(Historie!$A$2:$A$2000,A31,Historie!$B$2:$B$2000,B31,Historie!$E$2:$E$2000,"&lt;&gt;"),COUNTIFS(Historie!$A$2:$A$2000,A31,Historie!$E$2:$E$2000,"&lt;&gt;")))</f>
        <v/>
      </c>
      <c r="J31" s="14" t="str">
        <f>IF(I31=0,"",IFERROR(IF(AND(Parametry!$B$39="ANO",B31&lt;&gt;""),AVERAGEIFS(Historie!$F$2:$F$2000,Historie!$A$2:$A$2000,A31,Historie!$B$2:$B$2000,B31,Historie!$E$2:$E$2000,"&lt;&gt;"),AVERAGEIFS(Historie!$F$2:$F$2000,Historie!$A$2:$A$2000,A31,Historie!$E$2:$E$2000,"&lt;&gt;")),""))</f>
        <v/>
      </c>
      <c r="K31" s="25">
        <f>IF(I31=0,"",IFERROR(IF(AND(Parametry!$B$39="ANO",B31&lt;&gt;""),COUNTIFS(Historie!$A$2:$A$2000,A31,Historie!$B$2:$B$2000,B31,Historie!$E$2:$E$2000,"&lt;&gt;",Historie!$F$2:$F$2000,"&gt;0")/I31,COUNTIFS(Historie!$A$2:$A$2000,A31,Historie!$E$2:$E$2000,"&lt;&gt;",Historie!$F$2:$F$2000,"&gt;0")/I31),0))</f>
        <v>0</v>
      </c>
      <c r="L31" t="str">
        <f>IF(OR(A31="",I31=0),"",IFERROR(DATEDIF(IF(AND(Parametry!$B$39="ANO",B31&lt;&gt;""),_xludf.minifs(Historie!$E$2:$E$2000,Historie!$A$2:$A$2000,A31,Historie!$B$2:$B$2000,B31,Historie!$E$2:$E$2000,"&lt;&gt;"),_xludf.minifs(Historie!$E$2:$E$2000,Historie!$A$2:$A$2000,A31,Historie!$E$2:$E$2000,"&lt;&gt;")),IF(AND(Parametry!$B$39="ANO",B31&lt;&gt;""),_xludf.maxifs(Historie!$E$2:$E$2000,Historie!$A$2:$A$2000,A31,Historie!$B$2:$B$2000,B31,Historie!$E$2:$E$2000,"&lt;&gt;"),_xludf.maxifs(Historie!$E$2:$E$2000,Historie!$A$2:$A$2000,A31,Historie!$E$2:$E$2000,"&lt;&gt;")),"M"),0))</f>
        <v/>
      </c>
      <c r="M31" s="1" t="str">
        <f>IF(A31="","",IFERROR(IF(AND(Parametry!$B$39="ANO",B31&lt;&gt;""),AVERAGEIFS(Historie!$C$2:$C$2000,Historie!$A$2:$A$2000,A31,Historie!$B$2:$B$2000,B31,Historie!$E$2:$E$2000,"&lt;&gt;"),AVERAGEIFS(Historie!$C$2:$C$2000,Historie!$A$2:$A$2000,A31,Historie!$E$2:$E$2000,"&lt;&gt;")),""))</f>
        <v/>
      </c>
      <c r="N31" t="str">
        <f t="shared" ca="1" si="0"/>
        <v/>
      </c>
      <c r="O31" t="str">
        <f t="shared" si="1"/>
        <v/>
      </c>
      <c r="P31" t="str">
        <f t="shared" si="2"/>
        <v/>
      </c>
      <c r="Q31" s="26" t="str">
        <f t="shared" si="3"/>
        <v/>
      </c>
      <c r="R31" t="str">
        <f>IF(OR(A31="",E31=""),"",IF(I31&gt;=Parametry!$B$4,Parametry!$B$9,0))</f>
        <v/>
      </c>
      <c r="S31" t="str">
        <f>IF(OR(A31="",E31=""),"",IF(I31&gt;0,IF(J31&lt;=Parametry!$B$5,Parametry!$B$10,0),0))</f>
        <v/>
      </c>
      <c r="T31" t="str">
        <f>IF(OR(A31="",E31=""),"",IF(I31&gt;0,IF(K31&lt;=Parametry!$B$6,Parametry!$B$11,0),0))</f>
        <v/>
      </c>
      <c r="U31" t="str">
        <f>IF(OR(A31="",E31=""),"",IF(L31&gt;=Parametry!$B$7,Parametry!$B$12,0))</f>
        <v/>
      </c>
      <c r="V31" t="str">
        <f>IF(OR(A31="",E31=""),"",IF(M31&gt;0,IF(Q31&lt;=Parametry!$B$8,Parametry!$B$13,0),0))</f>
        <v/>
      </c>
      <c r="W31" t="str">
        <f>IF(OR(A31="",E31=""),"",IF(P31="ANO",Parametry!$B$14,0))</f>
        <v/>
      </c>
      <c r="X31" t="str">
        <f>IF(OR(A31="",E31=""),"",IF(G31="ANO",Parametry!$B$15,0))</f>
        <v/>
      </c>
      <c r="Y31" t="str">
        <f>IF(OR(A31="",E31=""),"",IF(H31="ANO",Parametry!$B$16,0))</f>
        <v/>
      </c>
      <c r="Z31" t="str">
        <f t="shared" si="4"/>
        <v/>
      </c>
      <c r="AA31" t="str">
        <f>IF(Z31="","",IF(AW31="STOP","Stop",IF(AW31="MANUAL",IF(Z31&gt;=Parametry!$B$19,"Watchlist","Stop"),IF(Z31&gt;=Parametry!$B$17,"Nízké riziko",IF(Z31&gt;=Parametry!$B$18,"Střední riziko",IF(Z31&gt;=Parametry!$B$19,"Watchlist","Stop"))))))</f>
        <v/>
      </c>
      <c r="AB31" s="17" t="str">
        <f>IF(AA31="","",MIN(IF(AA31="Nízké riziko",Parametry!$B$20,IF(AA31="Střední riziko",Parametry!$B$21,IF(AA31="Watchlist",Parametry!$B$22,Parametry!$B$23))),IFERROR(INDEX(Ciselniky!$H$3:$H$10,MATCH(AT31,Ciselniky!$F$3:$F$10,0)),0)))</f>
        <v/>
      </c>
      <c r="AC31" s="17" t="str">
        <f>IF(AA31="","",IF(AA31="Stop",0,IF(AA31="Nízké riziko",Parametry!$B$24,IF(AA31="Střední riziko",Parametry!$B$25,IF(AA31="Watchlist",Parametry!$B$26,0)))+IFERROR(INDEX(Ciselniky!$I$3:$I$10,MATCH(AT31,Ciselniky!$F$3:$F$10,0)),0)))</f>
        <v/>
      </c>
      <c r="AD31" t="str">
        <f t="shared" si="5"/>
        <v/>
      </c>
      <c r="AE31">
        <f t="shared" si="6"/>
        <v>0</v>
      </c>
      <c r="AF31">
        <f t="shared" si="7"/>
        <v>0</v>
      </c>
      <c r="AG31">
        <f>Parametry!$B$28</f>
        <v>5800000</v>
      </c>
      <c r="AH31" s="17" t="str">
        <f t="shared" si="8"/>
        <v/>
      </c>
      <c r="AI31" s="17">
        <f>IFERROR(AF31/Parametry!$B$28,"")</f>
        <v>0</v>
      </c>
      <c r="AJ31" s="17">
        <f>IFERROR(AE31/Parametry!$B$28,"")</f>
        <v>0</v>
      </c>
      <c r="AK31" t="str">
        <f>IF(OR(A31="",E31=""),"",MAX(0,100-IF(Parametry!$B$27="early",0.5,IF(Parametry!$B$27="growth",0.75,1))*(IF(AI31&lt;=Parametry!$B$34,0,IF(AI31&lt;=Parametry!$B$34+0.05,8,20))+IF(AH31&lt;=Parametry!$B$35,0,12)+IF(AJ31&lt;=Parametry!$B$36,0,12))))</f>
        <v/>
      </c>
      <c r="AL31" t="str">
        <f>IF(OR(A31="",E31=""),"",IF(Parametry!$B$27="early",IF(OR(AI31&gt;Parametry!$B$34*1.2,AH31&gt;Parametry!$B$35*1.3),"EARLY STAGE EXCEPTION","OK"),IF(Parametry!$B$27="growth",IF(OR(AI31&gt;Parametry!$B$34*1.35,AH31&gt;Parametry!$B$35*1.4),"RED FLAG","OK"),IF(OR(AI31&gt;Parametry!$B$34*1.2,AH31&gt;Parametry!$B$35*1.3),"RED FLAG","OK"))))</f>
        <v/>
      </c>
      <c r="AM31" t="str">
        <f>IF(OR(A31="",E31=""),"",IF(COUNTIF($A$6:A31,A31)=1,AF31,""))</f>
        <v/>
      </c>
      <c r="AN31" t="str">
        <f t="shared" si="9"/>
        <v/>
      </c>
      <c r="AO31" t="str">
        <f t="shared" si="10"/>
        <v/>
      </c>
      <c r="AP31" t="str">
        <f t="shared" si="11"/>
        <v/>
      </c>
      <c r="AQ31" s="14" t="str">
        <f t="shared" si="12"/>
        <v/>
      </c>
      <c r="AR31" t="str">
        <f t="shared" si="13"/>
        <v/>
      </c>
      <c r="AS31" t="str">
        <f t="shared" si="14"/>
        <v/>
      </c>
      <c r="AT31" s="23" t="str">
        <f>IF(A31="","",IF(COUNTIF(Ciselniky!$L$3:$L$200,A31)=0,"NR",IF(INDEX(Ciselniky!$M$3:$M$200,MATCH(A31,Ciselniky!$L$3:$L$200,0))="","NR",INDEX(Ciselniky!$M$3:$M$200,MATCH(A31,Ciselniky!$L$3:$L$200,0)))))</f>
        <v/>
      </c>
      <c r="AU31" t="str">
        <f>IF(A31="","",IF(AT31="NR","doplňit rating v Ciselniky",IFERROR(IF(INDEX(Ciselniky!$N$3:$N$200,MATCH(A31,Ciselniky!$L$3:$L$200,0))="","anchor master",INDEX(Ciselniky!$N$3:$N$200,MATCH(A31,Ciselniky!$L$3:$L$200,0))),"anchor master")))</f>
        <v/>
      </c>
      <c r="AV31" s="14" t="str">
        <f>IF(AT31="","",IFERROR(INDEX(Ciselniky!$G$3:$G$10,MATCH(AT31,Ciselniky!$F$3:$F$10,0)),0))</f>
        <v/>
      </c>
      <c r="AW31" t="str">
        <f>IF(AT31="","",IFERROR(INDEX(Ciselniky!$J$3:$J$10,MATCH(AT31,Ciselniky!$F$3:$F$10,0)),"MANUAL"))</f>
        <v/>
      </c>
      <c r="AX31" s="14" t="str">
        <f t="shared" si="15"/>
        <v/>
      </c>
      <c r="AY31" s="27" t="str">
        <f>IF(OR(A31="",E31=""),"",AV31*Parametry!$B$41)</f>
        <v/>
      </c>
      <c r="AZ31" s="27" t="str">
        <f>IF(OR(A31="",E31=""),"",AX31*Parametry!$B$42)</f>
        <v/>
      </c>
      <c r="BA31" s="27" t="str">
        <f>IF(OR(A31="",E31=""),"",AK31*Parametry!$B$43)</f>
        <v/>
      </c>
      <c r="BB31" s="14" t="str">
        <f>IF(OR(A31="",E31=""),"",IF(AW31="STOP",-100,IF(AT31="BB",Parametry!$B$47,IF(AT31="NR",Parametry!$B$48,0))))</f>
        <v/>
      </c>
    </row>
    <row r="32" spans="1:54" ht="21.75" customHeight="1" x14ac:dyDescent="0.2">
      <c r="A32" s="23"/>
      <c r="B32" s="23"/>
      <c r="C32" s="23"/>
      <c r="D32" s="23"/>
      <c r="E32" s="23"/>
      <c r="F32" s="23"/>
      <c r="G32" s="23"/>
      <c r="H32" s="23"/>
      <c r="I32" t="str">
        <f>IF(A32="","",IF(AND(Parametry!$B$39="ANO",B32&lt;&gt;""),COUNTIFS(Historie!$A$2:$A$2000,A32,Historie!$B$2:$B$2000,B32,Historie!$E$2:$E$2000,"&lt;&gt;"),COUNTIFS(Historie!$A$2:$A$2000,A32,Historie!$E$2:$E$2000,"&lt;&gt;")))</f>
        <v/>
      </c>
      <c r="J32" s="14" t="str">
        <f>IF(I32=0,"",IFERROR(IF(AND(Parametry!$B$39="ANO",B32&lt;&gt;""),AVERAGEIFS(Historie!$F$2:$F$2000,Historie!$A$2:$A$2000,A32,Historie!$B$2:$B$2000,B32,Historie!$E$2:$E$2000,"&lt;&gt;"),AVERAGEIFS(Historie!$F$2:$F$2000,Historie!$A$2:$A$2000,A32,Historie!$E$2:$E$2000,"&lt;&gt;")),""))</f>
        <v/>
      </c>
      <c r="K32" s="25">
        <f>IF(I32=0,"",IFERROR(IF(AND(Parametry!$B$39="ANO",B32&lt;&gt;""),COUNTIFS(Historie!$A$2:$A$2000,A32,Historie!$B$2:$B$2000,B32,Historie!$E$2:$E$2000,"&lt;&gt;",Historie!$F$2:$F$2000,"&gt;0")/I32,COUNTIFS(Historie!$A$2:$A$2000,A32,Historie!$E$2:$E$2000,"&lt;&gt;",Historie!$F$2:$F$2000,"&gt;0")/I32),0))</f>
        <v>0</v>
      </c>
      <c r="L32" t="str">
        <f>IF(OR(A32="",I32=0),"",IFERROR(DATEDIF(IF(AND(Parametry!$B$39="ANO",B32&lt;&gt;""),_xludf.minifs(Historie!$E$2:$E$2000,Historie!$A$2:$A$2000,A32,Historie!$B$2:$B$2000,B32,Historie!$E$2:$E$2000,"&lt;&gt;"),_xludf.minifs(Historie!$E$2:$E$2000,Historie!$A$2:$A$2000,A32,Historie!$E$2:$E$2000,"&lt;&gt;")),IF(AND(Parametry!$B$39="ANO",B32&lt;&gt;""),_xludf.maxifs(Historie!$E$2:$E$2000,Historie!$A$2:$A$2000,A32,Historie!$B$2:$B$2000,B32,Historie!$E$2:$E$2000,"&lt;&gt;"),_xludf.maxifs(Historie!$E$2:$E$2000,Historie!$A$2:$A$2000,A32,Historie!$E$2:$E$2000,"&lt;&gt;")),"M"),0))</f>
        <v/>
      </c>
      <c r="M32" s="1" t="str">
        <f>IF(A32="","",IFERROR(IF(AND(Parametry!$B$39="ANO",B32&lt;&gt;""),AVERAGEIFS(Historie!$C$2:$C$2000,Historie!$A$2:$A$2000,A32,Historie!$B$2:$B$2000,B32,Historie!$E$2:$E$2000,"&lt;&gt;"),AVERAGEIFS(Historie!$C$2:$C$2000,Historie!$A$2:$A$2000,A32,Historie!$E$2:$E$2000,"&lt;&gt;")),""))</f>
        <v/>
      </c>
      <c r="N32" t="str">
        <f t="shared" ca="1" si="0"/>
        <v/>
      </c>
      <c r="O32" t="str">
        <f t="shared" si="1"/>
        <v/>
      </c>
      <c r="P32" t="str">
        <f t="shared" si="2"/>
        <v/>
      </c>
      <c r="Q32" s="26" t="str">
        <f t="shared" si="3"/>
        <v/>
      </c>
      <c r="R32" t="str">
        <f>IF(OR(A32="",E32=""),"",IF(I32&gt;=Parametry!$B$4,Parametry!$B$9,0))</f>
        <v/>
      </c>
      <c r="S32" t="str">
        <f>IF(OR(A32="",E32=""),"",IF(I32&gt;0,IF(J32&lt;=Parametry!$B$5,Parametry!$B$10,0),0))</f>
        <v/>
      </c>
      <c r="T32" t="str">
        <f>IF(OR(A32="",E32=""),"",IF(I32&gt;0,IF(K32&lt;=Parametry!$B$6,Parametry!$B$11,0),0))</f>
        <v/>
      </c>
      <c r="U32" t="str">
        <f>IF(OR(A32="",E32=""),"",IF(L32&gt;=Parametry!$B$7,Parametry!$B$12,0))</f>
        <v/>
      </c>
      <c r="V32" t="str">
        <f>IF(OR(A32="",E32=""),"",IF(M32&gt;0,IF(Q32&lt;=Parametry!$B$8,Parametry!$B$13,0),0))</f>
        <v/>
      </c>
      <c r="W32" t="str">
        <f>IF(OR(A32="",E32=""),"",IF(P32="ANO",Parametry!$B$14,0))</f>
        <v/>
      </c>
      <c r="X32" t="str">
        <f>IF(OR(A32="",E32=""),"",IF(G32="ANO",Parametry!$B$15,0))</f>
        <v/>
      </c>
      <c r="Y32" t="str">
        <f>IF(OR(A32="",E32=""),"",IF(H32="ANO",Parametry!$B$16,0))</f>
        <v/>
      </c>
      <c r="Z32" t="str">
        <f t="shared" si="4"/>
        <v/>
      </c>
      <c r="AA32" t="str">
        <f>IF(Z32="","",IF(AW32="STOP","Stop",IF(AW32="MANUAL",IF(Z32&gt;=Parametry!$B$19,"Watchlist","Stop"),IF(Z32&gt;=Parametry!$B$17,"Nízké riziko",IF(Z32&gt;=Parametry!$B$18,"Střední riziko",IF(Z32&gt;=Parametry!$B$19,"Watchlist","Stop"))))))</f>
        <v/>
      </c>
      <c r="AB32" s="17" t="str">
        <f>IF(AA32="","",MIN(IF(AA32="Nízké riziko",Parametry!$B$20,IF(AA32="Střední riziko",Parametry!$B$21,IF(AA32="Watchlist",Parametry!$B$22,Parametry!$B$23))),IFERROR(INDEX(Ciselniky!$H$3:$H$10,MATCH(AT32,Ciselniky!$F$3:$F$10,0)),0)))</f>
        <v/>
      </c>
      <c r="AC32" s="17" t="str">
        <f>IF(AA32="","",IF(AA32="Stop",0,IF(AA32="Nízké riziko",Parametry!$B$24,IF(AA32="Střední riziko",Parametry!$B$25,IF(AA32="Watchlist",Parametry!$B$26,0)))+IFERROR(INDEX(Ciselniky!$I$3:$I$10,MATCH(AT32,Ciselniky!$F$3:$F$10,0)),0)))</f>
        <v/>
      </c>
      <c r="AD32" t="str">
        <f t="shared" si="5"/>
        <v/>
      </c>
      <c r="AE32">
        <f t="shared" si="6"/>
        <v>0</v>
      </c>
      <c r="AF32">
        <f t="shared" si="7"/>
        <v>0</v>
      </c>
      <c r="AG32">
        <f>Parametry!$B$28</f>
        <v>5800000</v>
      </c>
      <c r="AH32" s="17" t="str">
        <f t="shared" si="8"/>
        <v/>
      </c>
      <c r="AI32" s="17">
        <f>IFERROR(AF32/Parametry!$B$28,"")</f>
        <v>0</v>
      </c>
      <c r="AJ32" s="17">
        <f>IFERROR(AE32/Parametry!$B$28,"")</f>
        <v>0</v>
      </c>
      <c r="AK32" t="str">
        <f>IF(OR(A32="",E32=""),"",MAX(0,100-IF(Parametry!$B$27="early",0.5,IF(Parametry!$B$27="growth",0.75,1))*(IF(AI32&lt;=Parametry!$B$34,0,IF(AI32&lt;=Parametry!$B$34+0.05,8,20))+IF(AH32&lt;=Parametry!$B$35,0,12)+IF(AJ32&lt;=Parametry!$B$36,0,12))))</f>
        <v/>
      </c>
      <c r="AL32" t="str">
        <f>IF(OR(A32="",E32=""),"",IF(Parametry!$B$27="early",IF(OR(AI32&gt;Parametry!$B$34*1.2,AH32&gt;Parametry!$B$35*1.3),"EARLY STAGE EXCEPTION","OK"),IF(Parametry!$B$27="growth",IF(OR(AI32&gt;Parametry!$B$34*1.35,AH32&gt;Parametry!$B$35*1.4),"RED FLAG","OK"),IF(OR(AI32&gt;Parametry!$B$34*1.2,AH32&gt;Parametry!$B$35*1.3),"RED FLAG","OK"))))</f>
        <v/>
      </c>
      <c r="AM32" t="str">
        <f>IF(OR(A32="",E32=""),"",IF(COUNTIF($A$6:A32,A32)=1,AF32,""))</f>
        <v/>
      </c>
      <c r="AN32" t="str">
        <f t="shared" si="9"/>
        <v/>
      </c>
      <c r="AO32" t="str">
        <f t="shared" si="10"/>
        <v/>
      </c>
      <c r="AP32" t="str">
        <f t="shared" si="11"/>
        <v/>
      </c>
      <c r="AQ32" s="14" t="str">
        <f t="shared" si="12"/>
        <v/>
      </c>
      <c r="AR32" t="str">
        <f t="shared" si="13"/>
        <v/>
      </c>
      <c r="AS32" t="str">
        <f t="shared" si="14"/>
        <v/>
      </c>
      <c r="AT32" s="23" t="str">
        <f>IF(A32="","",IF(COUNTIF(Ciselniky!$L$3:$L$200,A32)=0,"NR",IF(INDEX(Ciselniky!$M$3:$M$200,MATCH(A32,Ciselniky!$L$3:$L$200,0))="","NR",INDEX(Ciselniky!$M$3:$M$200,MATCH(A32,Ciselniky!$L$3:$L$200,0)))))</f>
        <v/>
      </c>
      <c r="AU32" t="str">
        <f>IF(A32="","",IF(AT32="NR","doplňit rating v Ciselniky",IFERROR(IF(INDEX(Ciselniky!$N$3:$N$200,MATCH(A32,Ciselniky!$L$3:$L$200,0))="","anchor master",INDEX(Ciselniky!$N$3:$N$200,MATCH(A32,Ciselniky!$L$3:$L$200,0))),"anchor master")))</f>
        <v/>
      </c>
      <c r="AV32" s="14" t="str">
        <f>IF(AT32="","",IFERROR(INDEX(Ciselniky!$G$3:$G$10,MATCH(AT32,Ciselniky!$F$3:$F$10,0)),0))</f>
        <v/>
      </c>
      <c r="AW32" t="str">
        <f>IF(AT32="","",IFERROR(INDEX(Ciselniky!$J$3:$J$10,MATCH(AT32,Ciselniky!$F$3:$F$10,0)),"MANUAL"))</f>
        <v/>
      </c>
      <c r="AX32" s="14" t="str">
        <f t="shared" si="15"/>
        <v/>
      </c>
      <c r="AY32" s="27" t="str">
        <f>IF(OR(A32="",E32=""),"",AV32*Parametry!$B$41)</f>
        <v/>
      </c>
      <c r="AZ32" s="27" t="str">
        <f>IF(OR(A32="",E32=""),"",AX32*Parametry!$B$42)</f>
        <v/>
      </c>
      <c r="BA32" s="27" t="str">
        <f>IF(OR(A32="",E32=""),"",AK32*Parametry!$B$43)</f>
        <v/>
      </c>
      <c r="BB32" s="14" t="str">
        <f>IF(OR(A32="",E32=""),"",IF(AW32="STOP",-100,IF(AT32="BB",Parametry!$B$47,IF(AT32="NR",Parametry!$B$48,0))))</f>
        <v/>
      </c>
    </row>
    <row r="33" spans="1:54" ht="21.75" customHeight="1" x14ac:dyDescent="0.2">
      <c r="A33" s="23"/>
      <c r="B33" s="23"/>
      <c r="C33" s="23"/>
      <c r="D33" s="23"/>
      <c r="E33" s="23"/>
      <c r="F33" s="23"/>
      <c r="G33" s="23"/>
      <c r="H33" s="23"/>
      <c r="I33" t="str">
        <f>IF(A33="","",IF(AND(Parametry!$B$39="ANO",B33&lt;&gt;""),COUNTIFS(Historie!$A$2:$A$2000,A33,Historie!$B$2:$B$2000,B33,Historie!$E$2:$E$2000,"&lt;&gt;"),COUNTIFS(Historie!$A$2:$A$2000,A33,Historie!$E$2:$E$2000,"&lt;&gt;")))</f>
        <v/>
      </c>
      <c r="J33" s="14" t="str">
        <f>IF(I33=0,"",IFERROR(IF(AND(Parametry!$B$39="ANO",B33&lt;&gt;""),AVERAGEIFS(Historie!$F$2:$F$2000,Historie!$A$2:$A$2000,A33,Historie!$B$2:$B$2000,B33,Historie!$E$2:$E$2000,"&lt;&gt;"),AVERAGEIFS(Historie!$F$2:$F$2000,Historie!$A$2:$A$2000,A33,Historie!$E$2:$E$2000,"&lt;&gt;")),""))</f>
        <v/>
      </c>
      <c r="K33" s="25">
        <f>IF(I33=0,"",IFERROR(IF(AND(Parametry!$B$39="ANO",B33&lt;&gt;""),COUNTIFS(Historie!$A$2:$A$2000,A33,Historie!$B$2:$B$2000,B33,Historie!$E$2:$E$2000,"&lt;&gt;",Historie!$F$2:$F$2000,"&gt;0")/I33,COUNTIFS(Historie!$A$2:$A$2000,A33,Historie!$E$2:$E$2000,"&lt;&gt;",Historie!$F$2:$F$2000,"&gt;0")/I33),0))</f>
        <v>0</v>
      </c>
      <c r="L33" t="str">
        <f>IF(OR(A33="",I33=0),"",IFERROR(DATEDIF(IF(AND(Parametry!$B$39="ANO",B33&lt;&gt;""),_xludf.minifs(Historie!$E$2:$E$2000,Historie!$A$2:$A$2000,A33,Historie!$B$2:$B$2000,B33,Historie!$E$2:$E$2000,"&lt;&gt;"),_xludf.minifs(Historie!$E$2:$E$2000,Historie!$A$2:$A$2000,A33,Historie!$E$2:$E$2000,"&lt;&gt;")),IF(AND(Parametry!$B$39="ANO",B33&lt;&gt;""),_xludf.maxifs(Historie!$E$2:$E$2000,Historie!$A$2:$A$2000,A33,Historie!$B$2:$B$2000,B33,Historie!$E$2:$E$2000,"&lt;&gt;"),_xludf.maxifs(Historie!$E$2:$E$2000,Historie!$A$2:$A$2000,A33,Historie!$E$2:$E$2000,"&lt;&gt;")),"M"),0))</f>
        <v/>
      </c>
      <c r="M33" s="1" t="str">
        <f>IF(A33="","",IFERROR(IF(AND(Parametry!$B$39="ANO",B33&lt;&gt;""),AVERAGEIFS(Historie!$C$2:$C$2000,Historie!$A$2:$A$2000,A33,Historie!$B$2:$B$2000,B33,Historie!$E$2:$E$2000,"&lt;&gt;"),AVERAGEIFS(Historie!$C$2:$C$2000,Historie!$A$2:$A$2000,A33,Historie!$E$2:$E$2000,"&lt;&gt;")),""))</f>
        <v/>
      </c>
      <c r="N33" t="str">
        <f t="shared" ca="1" si="0"/>
        <v/>
      </c>
      <c r="O33" t="str">
        <f t="shared" si="1"/>
        <v/>
      </c>
      <c r="P33" t="str">
        <f t="shared" si="2"/>
        <v/>
      </c>
      <c r="Q33" s="26" t="str">
        <f t="shared" si="3"/>
        <v/>
      </c>
      <c r="R33" t="str">
        <f>IF(OR(A33="",E33=""),"",IF(I33&gt;=Parametry!$B$4,Parametry!$B$9,0))</f>
        <v/>
      </c>
      <c r="S33" t="str">
        <f>IF(OR(A33="",E33=""),"",IF(I33&gt;0,IF(J33&lt;=Parametry!$B$5,Parametry!$B$10,0),0))</f>
        <v/>
      </c>
      <c r="T33" t="str">
        <f>IF(OR(A33="",E33=""),"",IF(I33&gt;0,IF(K33&lt;=Parametry!$B$6,Parametry!$B$11,0),0))</f>
        <v/>
      </c>
      <c r="U33" t="str">
        <f>IF(OR(A33="",E33=""),"",IF(L33&gt;=Parametry!$B$7,Parametry!$B$12,0))</f>
        <v/>
      </c>
      <c r="V33" t="str">
        <f>IF(OR(A33="",E33=""),"",IF(M33&gt;0,IF(Q33&lt;=Parametry!$B$8,Parametry!$B$13,0),0))</f>
        <v/>
      </c>
      <c r="W33" t="str">
        <f>IF(OR(A33="",E33=""),"",IF(P33="ANO",Parametry!$B$14,0))</f>
        <v/>
      </c>
      <c r="X33" t="str">
        <f>IF(OR(A33="",E33=""),"",IF(G33="ANO",Parametry!$B$15,0))</f>
        <v/>
      </c>
      <c r="Y33" t="str">
        <f>IF(OR(A33="",E33=""),"",IF(H33="ANO",Parametry!$B$16,0))</f>
        <v/>
      </c>
      <c r="Z33" t="str">
        <f t="shared" si="4"/>
        <v/>
      </c>
      <c r="AA33" t="str">
        <f>IF(Z33="","",IF(AW33="STOP","Stop",IF(AW33="MANUAL",IF(Z33&gt;=Parametry!$B$19,"Watchlist","Stop"),IF(Z33&gt;=Parametry!$B$17,"Nízké riziko",IF(Z33&gt;=Parametry!$B$18,"Střední riziko",IF(Z33&gt;=Parametry!$B$19,"Watchlist","Stop"))))))</f>
        <v/>
      </c>
      <c r="AB33" s="17" t="str">
        <f>IF(AA33="","",MIN(IF(AA33="Nízké riziko",Parametry!$B$20,IF(AA33="Střední riziko",Parametry!$B$21,IF(AA33="Watchlist",Parametry!$B$22,Parametry!$B$23))),IFERROR(INDEX(Ciselniky!$H$3:$H$10,MATCH(AT33,Ciselniky!$F$3:$F$10,0)),0)))</f>
        <v/>
      </c>
      <c r="AC33" s="17" t="str">
        <f>IF(AA33="","",IF(AA33="Stop",0,IF(AA33="Nízké riziko",Parametry!$B$24,IF(AA33="Střední riziko",Parametry!$B$25,IF(AA33="Watchlist",Parametry!$B$26,0)))+IFERROR(INDEX(Ciselniky!$I$3:$I$10,MATCH(AT33,Ciselniky!$F$3:$F$10,0)),0)))</f>
        <v/>
      </c>
      <c r="AD33" t="str">
        <f t="shared" si="5"/>
        <v/>
      </c>
      <c r="AE33">
        <f t="shared" si="6"/>
        <v>0</v>
      </c>
      <c r="AF33">
        <f t="shared" si="7"/>
        <v>0</v>
      </c>
      <c r="AG33">
        <f>Parametry!$B$28</f>
        <v>5800000</v>
      </c>
      <c r="AH33" s="17" t="str">
        <f t="shared" si="8"/>
        <v/>
      </c>
      <c r="AI33" s="17">
        <f>IFERROR(AF33/Parametry!$B$28,"")</f>
        <v>0</v>
      </c>
      <c r="AJ33" s="17">
        <f>IFERROR(AE33/Parametry!$B$28,"")</f>
        <v>0</v>
      </c>
      <c r="AK33" t="str">
        <f>IF(OR(A33="",E33=""),"",MAX(0,100-IF(Parametry!$B$27="early",0.5,IF(Parametry!$B$27="growth",0.75,1))*(IF(AI33&lt;=Parametry!$B$34,0,IF(AI33&lt;=Parametry!$B$34+0.05,8,20))+IF(AH33&lt;=Parametry!$B$35,0,12)+IF(AJ33&lt;=Parametry!$B$36,0,12))))</f>
        <v/>
      </c>
      <c r="AL33" t="str">
        <f>IF(OR(A33="",E33=""),"",IF(Parametry!$B$27="early",IF(OR(AI33&gt;Parametry!$B$34*1.2,AH33&gt;Parametry!$B$35*1.3),"EARLY STAGE EXCEPTION","OK"),IF(Parametry!$B$27="growth",IF(OR(AI33&gt;Parametry!$B$34*1.35,AH33&gt;Parametry!$B$35*1.4),"RED FLAG","OK"),IF(OR(AI33&gt;Parametry!$B$34*1.2,AH33&gt;Parametry!$B$35*1.3),"RED FLAG","OK"))))</f>
        <v/>
      </c>
      <c r="AM33" t="str">
        <f>IF(OR(A33="",E33=""),"",IF(COUNTIF($A$6:A33,A33)=1,AF33,""))</f>
        <v/>
      </c>
      <c r="AN33" t="str">
        <f t="shared" si="9"/>
        <v/>
      </c>
      <c r="AO33" t="str">
        <f t="shared" si="10"/>
        <v/>
      </c>
      <c r="AP33" t="str">
        <f t="shared" si="11"/>
        <v/>
      </c>
      <c r="AQ33" s="14" t="str">
        <f t="shared" si="12"/>
        <v/>
      </c>
      <c r="AR33" t="str">
        <f t="shared" si="13"/>
        <v/>
      </c>
      <c r="AS33" t="str">
        <f t="shared" si="14"/>
        <v/>
      </c>
      <c r="AT33" s="23" t="str">
        <f>IF(A33="","",IF(COUNTIF(Ciselniky!$L$3:$L$200,A33)=0,"NR",IF(INDEX(Ciselniky!$M$3:$M$200,MATCH(A33,Ciselniky!$L$3:$L$200,0))="","NR",INDEX(Ciselniky!$M$3:$M$200,MATCH(A33,Ciselniky!$L$3:$L$200,0)))))</f>
        <v/>
      </c>
      <c r="AU33" t="str">
        <f>IF(A33="","",IF(AT33="NR","doplňit rating v Ciselniky",IFERROR(IF(INDEX(Ciselniky!$N$3:$N$200,MATCH(A33,Ciselniky!$L$3:$L$200,0))="","anchor master",INDEX(Ciselniky!$N$3:$N$200,MATCH(A33,Ciselniky!$L$3:$L$200,0))),"anchor master")))</f>
        <v/>
      </c>
      <c r="AV33" s="14" t="str">
        <f>IF(AT33="","",IFERROR(INDEX(Ciselniky!$G$3:$G$10,MATCH(AT33,Ciselniky!$F$3:$F$10,0)),0))</f>
        <v/>
      </c>
      <c r="AW33" t="str">
        <f>IF(AT33="","",IFERROR(INDEX(Ciselniky!$J$3:$J$10,MATCH(AT33,Ciselniky!$F$3:$F$10,0)),"MANUAL"))</f>
        <v/>
      </c>
      <c r="AX33" s="14" t="str">
        <f t="shared" si="15"/>
        <v/>
      </c>
      <c r="AY33" s="27" t="str">
        <f>IF(OR(A33="",E33=""),"",AV33*Parametry!$B$41)</f>
        <v/>
      </c>
      <c r="AZ33" s="27" t="str">
        <f>IF(OR(A33="",E33=""),"",AX33*Parametry!$B$42)</f>
        <v/>
      </c>
      <c r="BA33" s="27" t="str">
        <f>IF(OR(A33="",E33=""),"",AK33*Parametry!$B$43)</f>
        <v/>
      </c>
      <c r="BB33" s="14" t="str">
        <f>IF(OR(A33="",E33=""),"",IF(AW33="STOP",-100,IF(AT33="BB",Parametry!$B$47,IF(AT33="NR",Parametry!$B$48,0))))</f>
        <v/>
      </c>
    </row>
    <row r="34" spans="1:54" ht="21.75" customHeight="1" x14ac:dyDescent="0.2">
      <c r="A34" s="23"/>
      <c r="B34" s="23"/>
      <c r="C34" s="23"/>
      <c r="D34" s="23"/>
      <c r="E34" s="23"/>
      <c r="F34" s="23"/>
      <c r="G34" s="23"/>
      <c r="H34" s="23"/>
      <c r="I34" t="str">
        <f>IF(A34="","",IF(AND(Parametry!$B$39="ANO",B34&lt;&gt;""),COUNTIFS(Historie!$A$2:$A$2000,A34,Historie!$B$2:$B$2000,B34,Historie!$E$2:$E$2000,"&lt;&gt;"),COUNTIFS(Historie!$A$2:$A$2000,A34,Historie!$E$2:$E$2000,"&lt;&gt;")))</f>
        <v/>
      </c>
      <c r="J34" s="14" t="str">
        <f>IF(I34=0,"",IFERROR(IF(AND(Parametry!$B$39="ANO",B34&lt;&gt;""),AVERAGEIFS(Historie!$F$2:$F$2000,Historie!$A$2:$A$2000,A34,Historie!$B$2:$B$2000,B34,Historie!$E$2:$E$2000,"&lt;&gt;"),AVERAGEIFS(Historie!$F$2:$F$2000,Historie!$A$2:$A$2000,A34,Historie!$E$2:$E$2000,"&lt;&gt;")),""))</f>
        <v/>
      </c>
      <c r="K34" s="25">
        <f>IF(I34=0,"",IFERROR(IF(AND(Parametry!$B$39="ANO",B34&lt;&gt;""),COUNTIFS(Historie!$A$2:$A$2000,A34,Historie!$B$2:$B$2000,B34,Historie!$E$2:$E$2000,"&lt;&gt;",Historie!$F$2:$F$2000,"&gt;0")/I34,COUNTIFS(Historie!$A$2:$A$2000,A34,Historie!$E$2:$E$2000,"&lt;&gt;",Historie!$F$2:$F$2000,"&gt;0")/I34),0))</f>
        <v>0</v>
      </c>
      <c r="L34" t="str">
        <f>IF(OR(A34="",I34=0),"",IFERROR(DATEDIF(IF(AND(Parametry!$B$39="ANO",B34&lt;&gt;""),_xludf.minifs(Historie!$E$2:$E$2000,Historie!$A$2:$A$2000,A34,Historie!$B$2:$B$2000,B34,Historie!$E$2:$E$2000,"&lt;&gt;"),_xludf.minifs(Historie!$E$2:$E$2000,Historie!$A$2:$A$2000,A34,Historie!$E$2:$E$2000,"&lt;&gt;")),IF(AND(Parametry!$B$39="ANO",B34&lt;&gt;""),_xludf.maxifs(Historie!$E$2:$E$2000,Historie!$A$2:$A$2000,A34,Historie!$B$2:$B$2000,B34,Historie!$E$2:$E$2000,"&lt;&gt;"),_xludf.maxifs(Historie!$E$2:$E$2000,Historie!$A$2:$A$2000,A34,Historie!$E$2:$E$2000,"&lt;&gt;")),"M"),0))</f>
        <v/>
      </c>
      <c r="M34" s="1" t="str">
        <f>IF(A34="","",IFERROR(IF(AND(Parametry!$B$39="ANO",B34&lt;&gt;""),AVERAGEIFS(Historie!$C$2:$C$2000,Historie!$A$2:$A$2000,A34,Historie!$B$2:$B$2000,B34,Historie!$E$2:$E$2000,"&lt;&gt;"),AVERAGEIFS(Historie!$C$2:$C$2000,Historie!$A$2:$A$2000,A34,Historie!$E$2:$E$2000,"&lt;&gt;")),""))</f>
        <v/>
      </c>
      <c r="N34" t="str">
        <f t="shared" ca="1" si="0"/>
        <v/>
      </c>
      <c r="O34" t="str">
        <f t="shared" si="1"/>
        <v/>
      </c>
      <c r="P34" t="str">
        <f t="shared" si="2"/>
        <v/>
      </c>
      <c r="Q34" s="26" t="str">
        <f t="shared" si="3"/>
        <v/>
      </c>
      <c r="R34" t="str">
        <f>IF(OR(A34="",E34=""),"",IF(I34&gt;=Parametry!$B$4,Parametry!$B$9,0))</f>
        <v/>
      </c>
      <c r="S34" t="str">
        <f>IF(OR(A34="",E34=""),"",IF(I34&gt;0,IF(J34&lt;=Parametry!$B$5,Parametry!$B$10,0),0))</f>
        <v/>
      </c>
      <c r="T34" t="str">
        <f>IF(OR(A34="",E34=""),"",IF(I34&gt;0,IF(K34&lt;=Parametry!$B$6,Parametry!$B$11,0),0))</f>
        <v/>
      </c>
      <c r="U34" t="str">
        <f>IF(OR(A34="",E34=""),"",IF(L34&gt;=Parametry!$B$7,Parametry!$B$12,0))</f>
        <v/>
      </c>
      <c r="V34" t="str">
        <f>IF(OR(A34="",E34=""),"",IF(M34&gt;0,IF(Q34&lt;=Parametry!$B$8,Parametry!$B$13,0),0))</f>
        <v/>
      </c>
      <c r="W34" t="str">
        <f>IF(OR(A34="",E34=""),"",IF(P34="ANO",Parametry!$B$14,0))</f>
        <v/>
      </c>
      <c r="X34" t="str">
        <f>IF(OR(A34="",E34=""),"",IF(G34="ANO",Parametry!$B$15,0))</f>
        <v/>
      </c>
      <c r="Y34" t="str">
        <f>IF(OR(A34="",E34=""),"",IF(H34="ANO",Parametry!$B$16,0))</f>
        <v/>
      </c>
      <c r="Z34" t="str">
        <f t="shared" si="4"/>
        <v/>
      </c>
      <c r="AA34" t="str">
        <f>IF(Z34="","",IF(AW34="STOP","Stop",IF(AW34="MANUAL",IF(Z34&gt;=Parametry!$B$19,"Watchlist","Stop"),IF(Z34&gt;=Parametry!$B$17,"Nízké riziko",IF(Z34&gt;=Parametry!$B$18,"Střední riziko",IF(Z34&gt;=Parametry!$B$19,"Watchlist","Stop"))))))</f>
        <v/>
      </c>
      <c r="AB34" s="17" t="str">
        <f>IF(AA34="","",MIN(IF(AA34="Nízké riziko",Parametry!$B$20,IF(AA34="Střední riziko",Parametry!$B$21,IF(AA34="Watchlist",Parametry!$B$22,Parametry!$B$23))),IFERROR(INDEX(Ciselniky!$H$3:$H$10,MATCH(AT34,Ciselniky!$F$3:$F$10,0)),0)))</f>
        <v/>
      </c>
      <c r="AC34" s="17" t="str">
        <f>IF(AA34="","",IF(AA34="Stop",0,IF(AA34="Nízké riziko",Parametry!$B$24,IF(AA34="Střední riziko",Parametry!$B$25,IF(AA34="Watchlist",Parametry!$B$26,0)))+IFERROR(INDEX(Ciselniky!$I$3:$I$10,MATCH(AT34,Ciselniky!$F$3:$F$10,0)),0)))</f>
        <v/>
      </c>
      <c r="AD34" t="str">
        <f t="shared" si="5"/>
        <v/>
      </c>
      <c r="AE34">
        <f t="shared" si="6"/>
        <v>0</v>
      </c>
      <c r="AF34">
        <f t="shared" si="7"/>
        <v>0</v>
      </c>
      <c r="AG34">
        <f>Parametry!$B$28</f>
        <v>5800000</v>
      </c>
      <c r="AH34" s="17" t="str">
        <f t="shared" si="8"/>
        <v/>
      </c>
      <c r="AI34" s="17">
        <f>IFERROR(AF34/Parametry!$B$28,"")</f>
        <v>0</v>
      </c>
      <c r="AJ34" s="17">
        <f>IFERROR(AE34/Parametry!$B$28,"")</f>
        <v>0</v>
      </c>
      <c r="AK34" t="str">
        <f>IF(OR(A34="",E34=""),"",MAX(0,100-IF(Parametry!$B$27="early",0.5,IF(Parametry!$B$27="growth",0.75,1))*(IF(AI34&lt;=Parametry!$B$34,0,IF(AI34&lt;=Parametry!$B$34+0.05,8,20))+IF(AH34&lt;=Parametry!$B$35,0,12)+IF(AJ34&lt;=Parametry!$B$36,0,12))))</f>
        <v/>
      </c>
      <c r="AL34" t="str">
        <f>IF(OR(A34="",E34=""),"",IF(Parametry!$B$27="early",IF(OR(AI34&gt;Parametry!$B$34*1.2,AH34&gt;Parametry!$B$35*1.3),"EARLY STAGE EXCEPTION","OK"),IF(Parametry!$B$27="growth",IF(OR(AI34&gt;Parametry!$B$34*1.35,AH34&gt;Parametry!$B$35*1.4),"RED FLAG","OK"),IF(OR(AI34&gt;Parametry!$B$34*1.2,AH34&gt;Parametry!$B$35*1.3),"RED FLAG","OK"))))</f>
        <v/>
      </c>
      <c r="AM34" t="str">
        <f>IF(OR(A34="",E34=""),"",IF(COUNTIF($A$6:A34,A34)=1,AF34,""))</f>
        <v/>
      </c>
      <c r="AN34" t="str">
        <f t="shared" si="9"/>
        <v/>
      </c>
      <c r="AO34" t="str">
        <f t="shared" si="10"/>
        <v/>
      </c>
      <c r="AP34" t="str">
        <f t="shared" si="11"/>
        <v/>
      </c>
      <c r="AQ34" s="14" t="str">
        <f t="shared" si="12"/>
        <v/>
      </c>
      <c r="AR34" t="str">
        <f t="shared" si="13"/>
        <v/>
      </c>
      <c r="AS34" t="str">
        <f t="shared" si="14"/>
        <v/>
      </c>
      <c r="AT34" s="23" t="str">
        <f>IF(A34="","",IF(COUNTIF(Ciselniky!$L$3:$L$200,A34)=0,"NR",IF(INDEX(Ciselniky!$M$3:$M$200,MATCH(A34,Ciselniky!$L$3:$L$200,0))="","NR",INDEX(Ciselniky!$M$3:$M$200,MATCH(A34,Ciselniky!$L$3:$L$200,0)))))</f>
        <v/>
      </c>
      <c r="AU34" t="str">
        <f>IF(A34="","",IF(AT34="NR","doplňit rating v Ciselniky",IFERROR(IF(INDEX(Ciselniky!$N$3:$N$200,MATCH(A34,Ciselniky!$L$3:$L$200,0))="","anchor master",INDEX(Ciselniky!$N$3:$N$200,MATCH(A34,Ciselniky!$L$3:$L$200,0))),"anchor master")))</f>
        <v/>
      </c>
      <c r="AV34" s="14" t="str">
        <f>IF(AT34="","",IFERROR(INDEX(Ciselniky!$G$3:$G$10,MATCH(AT34,Ciselniky!$F$3:$F$10,0)),0))</f>
        <v/>
      </c>
      <c r="AW34" t="str">
        <f>IF(AT34="","",IFERROR(INDEX(Ciselniky!$J$3:$J$10,MATCH(AT34,Ciselniky!$F$3:$F$10,0)),"MANUAL"))</f>
        <v/>
      </c>
      <c r="AX34" s="14" t="str">
        <f t="shared" si="15"/>
        <v/>
      </c>
      <c r="AY34" s="27" t="str">
        <f>IF(OR(A34="",E34=""),"",AV34*Parametry!$B$41)</f>
        <v/>
      </c>
      <c r="AZ34" s="27" t="str">
        <f>IF(OR(A34="",E34=""),"",AX34*Parametry!$B$42)</f>
        <v/>
      </c>
      <c r="BA34" s="27" t="str">
        <f>IF(OR(A34="",E34=""),"",AK34*Parametry!$B$43)</f>
        <v/>
      </c>
      <c r="BB34" s="14" t="str">
        <f>IF(OR(A34="",E34=""),"",IF(AW34="STOP",-100,IF(AT34="BB",Parametry!$B$47,IF(AT34="NR",Parametry!$B$48,0))))</f>
        <v/>
      </c>
    </row>
    <row r="35" spans="1:54" ht="21.75" customHeight="1" x14ac:dyDescent="0.2">
      <c r="A35" s="23"/>
      <c r="B35" s="23"/>
      <c r="C35" s="23"/>
      <c r="D35" s="23"/>
      <c r="E35" s="23"/>
      <c r="F35" s="23"/>
      <c r="G35" s="23"/>
      <c r="H35" s="23"/>
      <c r="I35" t="str">
        <f>IF(A35="","",IF(AND(Parametry!$B$39="ANO",B35&lt;&gt;""),COUNTIFS(Historie!$A$2:$A$2000,A35,Historie!$B$2:$B$2000,B35,Historie!$E$2:$E$2000,"&lt;&gt;"),COUNTIFS(Historie!$A$2:$A$2000,A35,Historie!$E$2:$E$2000,"&lt;&gt;")))</f>
        <v/>
      </c>
      <c r="J35" s="14" t="str">
        <f>IF(I35=0,"",IFERROR(IF(AND(Parametry!$B$39="ANO",B35&lt;&gt;""),AVERAGEIFS(Historie!$F$2:$F$2000,Historie!$A$2:$A$2000,A35,Historie!$B$2:$B$2000,B35,Historie!$E$2:$E$2000,"&lt;&gt;"),AVERAGEIFS(Historie!$F$2:$F$2000,Historie!$A$2:$A$2000,A35,Historie!$E$2:$E$2000,"&lt;&gt;")),""))</f>
        <v/>
      </c>
      <c r="K35" s="25">
        <f>IF(I35=0,"",IFERROR(IF(AND(Parametry!$B$39="ANO",B35&lt;&gt;""),COUNTIFS(Historie!$A$2:$A$2000,A35,Historie!$B$2:$B$2000,B35,Historie!$E$2:$E$2000,"&lt;&gt;",Historie!$F$2:$F$2000,"&gt;0")/I35,COUNTIFS(Historie!$A$2:$A$2000,A35,Historie!$E$2:$E$2000,"&lt;&gt;",Historie!$F$2:$F$2000,"&gt;0")/I35),0))</f>
        <v>0</v>
      </c>
      <c r="L35" t="str">
        <f>IF(OR(A35="",I35=0),"",IFERROR(DATEDIF(IF(AND(Parametry!$B$39="ANO",B35&lt;&gt;""),_xludf.minifs(Historie!$E$2:$E$2000,Historie!$A$2:$A$2000,A35,Historie!$B$2:$B$2000,B35,Historie!$E$2:$E$2000,"&lt;&gt;"),_xludf.minifs(Historie!$E$2:$E$2000,Historie!$A$2:$A$2000,A35,Historie!$E$2:$E$2000,"&lt;&gt;")),IF(AND(Parametry!$B$39="ANO",B35&lt;&gt;""),_xludf.maxifs(Historie!$E$2:$E$2000,Historie!$A$2:$A$2000,A35,Historie!$B$2:$B$2000,B35,Historie!$E$2:$E$2000,"&lt;&gt;"),_xludf.maxifs(Historie!$E$2:$E$2000,Historie!$A$2:$A$2000,A35,Historie!$E$2:$E$2000,"&lt;&gt;")),"M"),0))</f>
        <v/>
      </c>
      <c r="M35" s="1" t="str">
        <f>IF(A35="","",IFERROR(IF(AND(Parametry!$B$39="ANO",B35&lt;&gt;""),AVERAGEIFS(Historie!$C$2:$C$2000,Historie!$A$2:$A$2000,A35,Historie!$B$2:$B$2000,B35,Historie!$E$2:$E$2000,"&lt;&gt;"),AVERAGEIFS(Historie!$C$2:$C$2000,Historie!$A$2:$A$2000,A35,Historie!$E$2:$E$2000,"&lt;&gt;")),""))</f>
        <v/>
      </c>
      <c r="N35" t="str">
        <f t="shared" ca="1" si="0"/>
        <v/>
      </c>
      <c r="O35" t="str">
        <f t="shared" si="1"/>
        <v/>
      </c>
      <c r="P35" t="str">
        <f t="shared" si="2"/>
        <v/>
      </c>
      <c r="Q35" s="26" t="str">
        <f t="shared" si="3"/>
        <v/>
      </c>
      <c r="R35" t="str">
        <f>IF(OR(A35="",E35=""),"",IF(I35&gt;=Parametry!$B$4,Parametry!$B$9,0))</f>
        <v/>
      </c>
      <c r="S35" t="str">
        <f>IF(OR(A35="",E35=""),"",IF(I35&gt;0,IF(J35&lt;=Parametry!$B$5,Parametry!$B$10,0),0))</f>
        <v/>
      </c>
      <c r="T35" t="str">
        <f>IF(OR(A35="",E35=""),"",IF(I35&gt;0,IF(K35&lt;=Parametry!$B$6,Parametry!$B$11,0),0))</f>
        <v/>
      </c>
      <c r="U35" t="str">
        <f>IF(OR(A35="",E35=""),"",IF(L35&gt;=Parametry!$B$7,Parametry!$B$12,0))</f>
        <v/>
      </c>
      <c r="V35" t="str">
        <f>IF(OR(A35="",E35=""),"",IF(M35&gt;0,IF(Q35&lt;=Parametry!$B$8,Parametry!$B$13,0),0))</f>
        <v/>
      </c>
      <c r="W35" t="str">
        <f>IF(OR(A35="",E35=""),"",IF(P35="ANO",Parametry!$B$14,0))</f>
        <v/>
      </c>
      <c r="X35" t="str">
        <f>IF(OR(A35="",E35=""),"",IF(G35="ANO",Parametry!$B$15,0))</f>
        <v/>
      </c>
      <c r="Y35" t="str">
        <f>IF(OR(A35="",E35=""),"",IF(H35="ANO",Parametry!$B$16,0))</f>
        <v/>
      </c>
      <c r="Z35" t="str">
        <f t="shared" si="4"/>
        <v/>
      </c>
      <c r="AA35" t="str">
        <f>IF(Z35="","",IF(AW35="STOP","Stop",IF(AW35="MANUAL",IF(Z35&gt;=Parametry!$B$19,"Watchlist","Stop"),IF(Z35&gt;=Parametry!$B$17,"Nízké riziko",IF(Z35&gt;=Parametry!$B$18,"Střední riziko",IF(Z35&gt;=Parametry!$B$19,"Watchlist","Stop"))))))</f>
        <v/>
      </c>
      <c r="AB35" s="17" t="str">
        <f>IF(AA35="","",MIN(IF(AA35="Nízké riziko",Parametry!$B$20,IF(AA35="Střední riziko",Parametry!$B$21,IF(AA35="Watchlist",Parametry!$B$22,Parametry!$B$23))),IFERROR(INDEX(Ciselniky!$H$3:$H$10,MATCH(AT35,Ciselniky!$F$3:$F$10,0)),0)))</f>
        <v/>
      </c>
      <c r="AC35" s="17" t="str">
        <f>IF(AA35="","",IF(AA35="Stop",0,IF(AA35="Nízké riziko",Parametry!$B$24,IF(AA35="Střední riziko",Parametry!$B$25,IF(AA35="Watchlist",Parametry!$B$26,0)))+IFERROR(INDEX(Ciselniky!$I$3:$I$10,MATCH(AT35,Ciselniky!$F$3:$F$10,0)),0)))</f>
        <v/>
      </c>
      <c r="AD35" t="str">
        <f t="shared" si="5"/>
        <v/>
      </c>
      <c r="AE35">
        <f t="shared" si="6"/>
        <v>0</v>
      </c>
      <c r="AF35">
        <f t="shared" si="7"/>
        <v>0</v>
      </c>
      <c r="AG35">
        <f>Parametry!$B$28</f>
        <v>5800000</v>
      </c>
      <c r="AH35" s="17" t="str">
        <f t="shared" si="8"/>
        <v/>
      </c>
      <c r="AI35" s="17">
        <f>IFERROR(AF35/Parametry!$B$28,"")</f>
        <v>0</v>
      </c>
      <c r="AJ35" s="17">
        <f>IFERROR(AE35/Parametry!$B$28,"")</f>
        <v>0</v>
      </c>
      <c r="AK35" t="str">
        <f>IF(OR(A35="",E35=""),"",MAX(0,100-IF(Parametry!$B$27="early",0.5,IF(Parametry!$B$27="growth",0.75,1))*(IF(AI35&lt;=Parametry!$B$34,0,IF(AI35&lt;=Parametry!$B$34+0.05,8,20))+IF(AH35&lt;=Parametry!$B$35,0,12)+IF(AJ35&lt;=Parametry!$B$36,0,12))))</f>
        <v/>
      </c>
      <c r="AL35" t="str">
        <f>IF(OR(A35="",E35=""),"",IF(Parametry!$B$27="early",IF(OR(AI35&gt;Parametry!$B$34*1.2,AH35&gt;Parametry!$B$35*1.3),"EARLY STAGE EXCEPTION","OK"),IF(Parametry!$B$27="growth",IF(OR(AI35&gt;Parametry!$B$34*1.35,AH35&gt;Parametry!$B$35*1.4),"RED FLAG","OK"),IF(OR(AI35&gt;Parametry!$B$34*1.2,AH35&gt;Parametry!$B$35*1.3),"RED FLAG","OK"))))</f>
        <v/>
      </c>
      <c r="AM35" t="str">
        <f>IF(OR(A35="",E35=""),"",IF(COUNTIF($A$6:A35,A35)=1,AF35,""))</f>
        <v/>
      </c>
      <c r="AN35" t="str">
        <f t="shared" si="9"/>
        <v/>
      </c>
      <c r="AO35" t="str">
        <f t="shared" si="10"/>
        <v/>
      </c>
      <c r="AP35" t="str">
        <f t="shared" si="11"/>
        <v/>
      </c>
      <c r="AQ35" s="14" t="str">
        <f t="shared" si="12"/>
        <v/>
      </c>
      <c r="AR35" t="str">
        <f t="shared" si="13"/>
        <v/>
      </c>
      <c r="AS35" t="str">
        <f t="shared" si="14"/>
        <v/>
      </c>
      <c r="AT35" s="23" t="str">
        <f>IF(A35="","",IF(COUNTIF(Ciselniky!$L$3:$L$200,A35)=0,"NR",IF(INDEX(Ciselniky!$M$3:$M$200,MATCH(A35,Ciselniky!$L$3:$L$200,0))="","NR",INDEX(Ciselniky!$M$3:$M$200,MATCH(A35,Ciselniky!$L$3:$L$200,0)))))</f>
        <v/>
      </c>
      <c r="AU35" t="str">
        <f>IF(A35="","",IF(AT35="NR","doplňit rating v Ciselniky",IFERROR(IF(INDEX(Ciselniky!$N$3:$N$200,MATCH(A35,Ciselniky!$L$3:$L$200,0))="","anchor master",INDEX(Ciselniky!$N$3:$N$200,MATCH(A35,Ciselniky!$L$3:$L$200,0))),"anchor master")))</f>
        <v/>
      </c>
      <c r="AV35" s="14" t="str">
        <f>IF(AT35="","",IFERROR(INDEX(Ciselniky!$G$3:$G$10,MATCH(AT35,Ciselniky!$F$3:$F$10,0)),0))</f>
        <v/>
      </c>
      <c r="AW35" t="str">
        <f>IF(AT35="","",IFERROR(INDEX(Ciselniky!$J$3:$J$10,MATCH(AT35,Ciselniky!$F$3:$F$10,0)),"MANUAL"))</f>
        <v/>
      </c>
      <c r="AX35" s="14" t="str">
        <f t="shared" si="15"/>
        <v/>
      </c>
      <c r="AY35" s="27" t="str">
        <f>IF(OR(A35="",E35=""),"",AV35*Parametry!$B$41)</f>
        <v/>
      </c>
      <c r="AZ35" s="27" t="str">
        <f>IF(OR(A35="",E35=""),"",AX35*Parametry!$B$42)</f>
        <v/>
      </c>
      <c r="BA35" s="27" t="str">
        <f>IF(OR(A35="",E35=""),"",AK35*Parametry!$B$43)</f>
        <v/>
      </c>
      <c r="BB35" s="14" t="str">
        <f>IF(OR(A35="",E35=""),"",IF(AW35="STOP",-100,IF(AT35="BB",Parametry!$B$47,IF(AT35="NR",Parametry!$B$48,0))))</f>
        <v/>
      </c>
    </row>
    <row r="36" spans="1:54" ht="21.75" customHeight="1" x14ac:dyDescent="0.2">
      <c r="A36" s="23"/>
      <c r="B36" s="23"/>
      <c r="C36" s="23"/>
      <c r="D36" s="23"/>
      <c r="E36" s="23"/>
      <c r="F36" s="23"/>
      <c r="G36" s="23"/>
      <c r="H36" s="23"/>
      <c r="I36" t="str">
        <f>IF(A36="","",IF(AND(Parametry!$B$39="ANO",B36&lt;&gt;""),COUNTIFS(Historie!$A$2:$A$2000,A36,Historie!$B$2:$B$2000,B36,Historie!$E$2:$E$2000,"&lt;&gt;"),COUNTIFS(Historie!$A$2:$A$2000,A36,Historie!$E$2:$E$2000,"&lt;&gt;")))</f>
        <v/>
      </c>
      <c r="J36" s="14" t="str">
        <f>IF(I36=0,"",IFERROR(IF(AND(Parametry!$B$39="ANO",B36&lt;&gt;""),AVERAGEIFS(Historie!$F$2:$F$2000,Historie!$A$2:$A$2000,A36,Historie!$B$2:$B$2000,B36,Historie!$E$2:$E$2000,"&lt;&gt;"),AVERAGEIFS(Historie!$F$2:$F$2000,Historie!$A$2:$A$2000,A36,Historie!$E$2:$E$2000,"&lt;&gt;")),""))</f>
        <v/>
      </c>
      <c r="K36" s="25">
        <f>IF(I36=0,"",IFERROR(IF(AND(Parametry!$B$39="ANO",B36&lt;&gt;""),COUNTIFS(Historie!$A$2:$A$2000,A36,Historie!$B$2:$B$2000,B36,Historie!$E$2:$E$2000,"&lt;&gt;",Historie!$F$2:$F$2000,"&gt;0")/I36,COUNTIFS(Historie!$A$2:$A$2000,A36,Historie!$E$2:$E$2000,"&lt;&gt;",Historie!$F$2:$F$2000,"&gt;0")/I36),0))</f>
        <v>0</v>
      </c>
      <c r="L36" t="str">
        <f>IF(OR(A36="",I36=0),"",IFERROR(DATEDIF(IF(AND(Parametry!$B$39="ANO",B36&lt;&gt;""),_xludf.minifs(Historie!$E$2:$E$2000,Historie!$A$2:$A$2000,A36,Historie!$B$2:$B$2000,B36,Historie!$E$2:$E$2000,"&lt;&gt;"),_xludf.minifs(Historie!$E$2:$E$2000,Historie!$A$2:$A$2000,A36,Historie!$E$2:$E$2000,"&lt;&gt;")),IF(AND(Parametry!$B$39="ANO",B36&lt;&gt;""),_xludf.maxifs(Historie!$E$2:$E$2000,Historie!$A$2:$A$2000,A36,Historie!$B$2:$B$2000,B36,Historie!$E$2:$E$2000,"&lt;&gt;"),_xludf.maxifs(Historie!$E$2:$E$2000,Historie!$A$2:$A$2000,A36,Historie!$E$2:$E$2000,"&lt;&gt;")),"M"),0))</f>
        <v/>
      </c>
      <c r="M36" s="1" t="str">
        <f>IF(A36="","",IFERROR(IF(AND(Parametry!$B$39="ANO",B36&lt;&gt;""),AVERAGEIFS(Historie!$C$2:$C$2000,Historie!$A$2:$A$2000,A36,Historie!$B$2:$B$2000,B36,Historie!$E$2:$E$2000,"&lt;&gt;"),AVERAGEIFS(Historie!$C$2:$C$2000,Historie!$A$2:$A$2000,A36,Historie!$E$2:$E$2000,"&lt;&gt;")),""))</f>
        <v/>
      </c>
      <c r="N36" t="str">
        <f t="shared" ca="1" si="0"/>
        <v/>
      </c>
      <c r="O36" t="str">
        <f t="shared" si="1"/>
        <v/>
      </c>
      <c r="P36" t="str">
        <f t="shared" si="2"/>
        <v/>
      </c>
      <c r="Q36" s="26" t="str">
        <f t="shared" si="3"/>
        <v/>
      </c>
      <c r="R36" t="str">
        <f>IF(OR(A36="",E36=""),"",IF(I36&gt;=Parametry!$B$4,Parametry!$B$9,0))</f>
        <v/>
      </c>
      <c r="S36" t="str">
        <f>IF(OR(A36="",E36=""),"",IF(I36&gt;0,IF(J36&lt;=Parametry!$B$5,Parametry!$B$10,0),0))</f>
        <v/>
      </c>
      <c r="T36" t="str">
        <f>IF(OR(A36="",E36=""),"",IF(I36&gt;0,IF(K36&lt;=Parametry!$B$6,Parametry!$B$11,0),0))</f>
        <v/>
      </c>
      <c r="U36" t="str">
        <f>IF(OR(A36="",E36=""),"",IF(L36&gt;=Parametry!$B$7,Parametry!$B$12,0))</f>
        <v/>
      </c>
      <c r="V36" t="str">
        <f>IF(OR(A36="",E36=""),"",IF(M36&gt;0,IF(Q36&lt;=Parametry!$B$8,Parametry!$B$13,0),0))</f>
        <v/>
      </c>
      <c r="W36" t="str">
        <f>IF(OR(A36="",E36=""),"",IF(P36="ANO",Parametry!$B$14,0))</f>
        <v/>
      </c>
      <c r="X36" t="str">
        <f>IF(OR(A36="",E36=""),"",IF(G36="ANO",Parametry!$B$15,0))</f>
        <v/>
      </c>
      <c r="Y36" t="str">
        <f>IF(OR(A36="",E36=""),"",IF(H36="ANO",Parametry!$B$16,0))</f>
        <v/>
      </c>
      <c r="Z36" t="str">
        <f t="shared" si="4"/>
        <v/>
      </c>
      <c r="AA36" t="str">
        <f>IF(Z36="","",IF(AW36="STOP","Stop",IF(AW36="MANUAL",IF(Z36&gt;=Parametry!$B$19,"Watchlist","Stop"),IF(Z36&gt;=Parametry!$B$17,"Nízké riziko",IF(Z36&gt;=Parametry!$B$18,"Střední riziko",IF(Z36&gt;=Parametry!$B$19,"Watchlist","Stop"))))))</f>
        <v/>
      </c>
      <c r="AB36" s="17" t="str">
        <f>IF(AA36="","",MIN(IF(AA36="Nízké riziko",Parametry!$B$20,IF(AA36="Střední riziko",Parametry!$B$21,IF(AA36="Watchlist",Parametry!$B$22,Parametry!$B$23))),IFERROR(INDEX(Ciselniky!$H$3:$H$10,MATCH(AT36,Ciselniky!$F$3:$F$10,0)),0)))</f>
        <v/>
      </c>
      <c r="AC36" s="17" t="str">
        <f>IF(AA36="","",IF(AA36="Stop",0,IF(AA36="Nízké riziko",Parametry!$B$24,IF(AA36="Střední riziko",Parametry!$B$25,IF(AA36="Watchlist",Parametry!$B$26,0)))+IFERROR(INDEX(Ciselniky!$I$3:$I$10,MATCH(AT36,Ciselniky!$F$3:$F$10,0)),0)))</f>
        <v/>
      </c>
      <c r="AD36" t="str">
        <f t="shared" si="5"/>
        <v/>
      </c>
      <c r="AE36">
        <f t="shared" si="6"/>
        <v>0</v>
      </c>
      <c r="AF36">
        <f t="shared" si="7"/>
        <v>0</v>
      </c>
      <c r="AG36">
        <f>Parametry!$B$28</f>
        <v>5800000</v>
      </c>
      <c r="AH36" s="17" t="str">
        <f t="shared" si="8"/>
        <v/>
      </c>
      <c r="AI36" s="17">
        <f>IFERROR(AF36/Parametry!$B$28,"")</f>
        <v>0</v>
      </c>
      <c r="AJ36" s="17">
        <f>IFERROR(AE36/Parametry!$B$28,"")</f>
        <v>0</v>
      </c>
      <c r="AK36" t="str">
        <f>IF(OR(A36="",E36=""),"",MAX(0,100-IF(Parametry!$B$27="early",0.5,IF(Parametry!$B$27="growth",0.75,1))*(IF(AI36&lt;=Parametry!$B$34,0,IF(AI36&lt;=Parametry!$B$34+0.05,8,20))+IF(AH36&lt;=Parametry!$B$35,0,12)+IF(AJ36&lt;=Parametry!$B$36,0,12))))</f>
        <v/>
      </c>
      <c r="AL36" t="str">
        <f>IF(OR(A36="",E36=""),"",IF(Parametry!$B$27="early",IF(OR(AI36&gt;Parametry!$B$34*1.2,AH36&gt;Parametry!$B$35*1.3),"EARLY STAGE EXCEPTION","OK"),IF(Parametry!$B$27="growth",IF(OR(AI36&gt;Parametry!$B$34*1.35,AH36&gt;Parametry!$B$35*1.4),"RED FLAG","OK"),IF(OR(AI36&gt;Parametry!$B$34*1.2,AH36&gt;Parametry!$B$35*1.3),"RED FLAG","OK"))))</f>
        <v/>
      </c>
      <c r="AM36" t="str">
        <f>IF(OR(A36="",E36=""),"",IF(COUNTIF($A$6:A36,A36)=1,AF36,""))</f>
        <v/>
      </c>
      <c r="AN36" t="str">
        <f t="shared" si="9"/>
        <v/>
      </c>
      <c r="AO36" t="str">
        <f t="shared" si="10"/>
        <v/>
      </c>
      <c r="AP36" t="str">
        <f t="shared" si="11"/>
        <v/>
      </c>
      <c r="AQ36" s="14" t="str">
        <f t="shared" si="12"/>
        <v/>
      </c>
      <c r="AR36" t="str">
        <f t="shared" si="13"/>
        <v/>
      </c>
      <c r="AS36" t="str">
        <f t="shared" si="14"/>
        <v/>
      </c>
      <c r="AT36" s="23" t="str">
        <f>IF(A36="","",IF(COUNTIF(Ciselniky!$L$3:$L$200,A36)=0,"NR",IF(INDEX(Ciselniky!$M$3:$M$200,MATCH(A36,Ciselniky!$L$3:$L$200,0))="","NR",INDEX(Ciselniky!$M$3:$M$200,MATCH(A36,Ciselniky!$L$3:$L$200,0)))))</f>
        <v/>
      </c>
      <c r="AU36" t="str">
        <f>IF(A36="","",IF(AT36="NR","doplňit rating v Ciselniky",IFERROR(IF(INDEX(Ciselniky!$N$3:$N$200,MATCH(A36,Ciselniky!$L$3:$L$200,0))="","anchor master",INDEX(Ciselniky!$N$3:$N$200,MATCH(A36,Ciselniky!$L$3:$L$200,0))),"anchor master")))</f>
        <v/>
      </c>
      <c r="AV36" s="14" t="str">
        <f>IF(AT36="","",IFERROR(INDEX(Ciselniky!$G$3:$G$10,MATCH(AT36,Ciselniky!$F$3:$F$10,0)),0))</f>
        <v/>
      </c>
      <c r="AW36" t="str">
        <f>IF(AT36="","",IFERROR(INDEX(Ciselniky!$J$3:$J$10,MATCH(AT36,Ciselniky!$F$3:$F$10,0)),"MANUAL"))</f>
        <v/>
      </c>
      <c r="AX36" s="14" t="str">
        <f t="shared" si="15"/>
        <v/>
      </c>
      <c r="AY36" s="27" t="str">
        <f>IF(OR(A36="",E36=""),"",AV36*Parametry!$B$41)</f>
        <v/>
      </c>
      <c r="AZ36" s="27" t="str">
        <f>IF(OR(A36="",E36=""),"",AX36*Parametry!$B$42)</f>
        <v/>
      </c>
      <c r="BA36" s="27" t="str">
        <f>IF(OR(A36="",E36=""),"",AK36*Parametry!$B$43)</f>
        <v/>
      </c>
      <c r="BB36" s="14" t="str">
        <f>IF(OR(A36="",E36=""),"",IF(AW36="STOP",-100,IF(AT36="BB",Parametry!$B$47,IF(AT36="NR",Parametry!$B$48,0))))</f>
        <v/>
      </c>
    </row>
    <row r="37" spans="1:54" ht="21.75" customHeight="1" x14ac:dyDescent="0.2">
      <c r="A37" s="23"/>
      <c r="B37" s="23"/>
      <c r="C37" s="23"/>
      <c r="D37" s="23"/>
      <c r="E37" s="23"/>
      <c r="F37" s="23"/>
      <c r="G37" s="23"/>
      <c r="H37" s="23"/>
      <c r="I37" t="str">
        <f>IF(A37="","",IF(AND(Parametry!$B$39="ANO",B37&lt;&gt;""),COUNTIFS(Historie!$A$2:$A$2000,A37,Historie!$B$2:$B$2000,B37,Historie!$E$2:$E$2000,"&lt;&gt;"),COUNTIFS(Historie!$A$2:$A$2000,A37,Historie!$E$2:$E$2000,"&lt;&gt;")))</f>
        <v/>
      </c>
      <c r="J37" s="14" t="str">
        <f>IF(I37=0,"",IFERROR(IF(AND(Parametry!$B$39="ANO",B37&lt;&gt;""),AVERAGEIFS(Historie!$F$2:$F$2000,Historie!$A$2:$A$2000,A37,Historie!$B$2:$B$2000,B37,Historie!$E$2:$E$2000,"&lt;&gt;"),AVERAGEIFS(Historie!$F$2:$F$2000,Historie!$A$2:$A$2000,A37,Historie!$E$2:$E$2000,"&lt;&gt;")),""))</f>
        <v/>
      </c>
      <c r="K37" s="25">
        <f>IF(I37=0,"",IFERROR(IF(AND(Parametry!$B$39="ANO",B37&lt;&gt;""),COUNTIFS(Historie!$A$2:$A$2000,A37,Historie!$B$2:$B$2000,B37,Historie!$E$2:$E$2000,"&lt;&gt;",Historie!$F$2:$F$2000,"&gt;0")/I37,COUNTIFS(Historie!$A$2:$A$2000,A37,Historie!$E$2:$E$2000,"&lt;&gt;",Historie!$F$2:$F$2000,"&gt;0")/I37),0))</f>
        <v>0</v>
      </c>
      <c r="L37" t="str">
        <f>IF(OR(A37="",I37=0),"",IFERROR(DATEDIF(IF(AND(Parametry!$B$39="ANO",B37&lt;&gt;""),_xludf.minifs(Historie!$E$2:$E$2000,Historie!$A$2:$A$2000,A37,Historie!$B$2:$B$2000,B37,Historie!$E$2:$E$2000,"&lt;&gt;"),_xludf.minifs(Historie!$E$2:$E$2000,Historie!$A$2:$A$2000,A37,Historie!$E$2:$E$2000,"&lt;&gt;")),IF(AND(Parametry!$B$39="ANO",B37&lt;&gt;""),_xludf.maxifs(Historie!$E$2:$E$2000,Historie!$A$2:$A$2000,A37,Historie!$B$2:$B$2000,B37,Historie!$E$2:$E$2000,"&lt;&gt;"),_xludf.maxifs(Historie!$E$2:$E$2000,Historie!$A$2:$A$2000,A37,Historie!$E$2:$E$2000,"&lt;&gt;")),"M"),0))</f>
        <v/>
      </c>
      <c r="M37" s="1" t="str">
        <f>IF(A37="","",IFERROR(IF(AND(Parametry!$B$39="ANO",B37&lt;&gt;""),AVERAGEIFS(Historie!$C$2:$C$2000,Historie!$A$2:$A$2000,A37,Historie!$B$2:$B$2000,B37,Historie!$E$2:$E$2000,"&lt;&gt;"),AVERAGEIFS(Historie!$C$2:$C$2000,Historie!$A$2:$A$2000,A37,Historie!$E$2:$E$2000,"&lt;&gt;")),""))</f>
        <v/>
      </c>
      <c r="N37" t="str">
        <f t="shared" ca="1" si="0"/>
        <v/>
      </c>
      <c r="O37" t="str">
        <f t="shared" si="1"/>
        <v/>
      </c>
      <c r="P37" t="str">
        <f t="shared" si="2"/>
        <v/>
      </c>
      <c r="Q37" s="26" t="str">
        <f t="shared" si="3"/>
        <v/>
      </c>
      <c r="R37" t="str">
        <f>IF(OR(A37="",E37=""),"",IF(I37&gt;=Parametry!$B$4,Parametry!$B$9,0))</f>
        <v/>
      </c>
      <c r="S37" t="str">
        <f>IF(OR(A37="",E37=""),"",IF(I37&gt;0,IF(J37&lt;=Parametry!$B$5,Parametry!$B$10,0),0))</f>
        <v/>
      </c>
      <c r="T37" t="str">
        <f>IF(OR(A37="",E37=""),"",IF(I37&gt;0,IF(K37&lt;=Parametry!$B$6,Parametry!$B$11,0),0))</f>
        <v/>
      </c>
      <c r="U37" t="str">
        <f>IF(OR(A37="",E37=""),"",IF(L37&gt;=Parametry!$B$7,Parametry!$B$12,0))</f>
        <v/>
      </c>
      <c r="V37" t="str">
        <f>IF(OR(A37="",E37=""),"",IF(M37&gt;0,IF(Q37&lt;=Parametry!$B$8,Parametry!$B$13,0),0))</f>
        <v/>
      </c>
      <c r="W37" t="str">
        <f>IF(OR(A37="",E37=""),"",IF(P37="ANO",Parametry!$B$14,0))</f>
        <v/>
      </c>
      <c r="X37" t="str">
        <f>IF(OR(A37="",E37=""),"",IF(G37="ANO",Parametry!$B$15,0))</f>
        <v/>
      </c>
      <c r="Y37" t="str">
        <f>IF(OR(A37="",E37=""),"",IF(H37="ANO",Parametry!$B$16,0))</f>
        <v/>
      </c>
      <c r="Z37" t="str">
        <f t="shared" si="4"/>
        <v/>
      </c>
      <c r="AA37" t="str">
        <f>IF(Z37="","",IF(AW37="STOP","Stop",IF(AW37="MANUAL",IF(Z37&gt;=Parametry!$B$19,"Watchlist","Stop"),IF(Z37&gt;=Parametry!$B$17,"Nízké riziko",IF(Z37&gt;=Parametry!$B$18,"Střední riziko",IF(Z37&gt;=Parametry!$B$19,"Watchlist","Stop"))))))</f>
        <v/>
      </c>
      <c r="AB37" s="17" t="str">
        <f>IF(AA37="","",MIN(IF(AA37="Nízké riziko",Parametry!$B$20,IF(AA37="Střední riziko",Parametry!$B$21,IF(AA37="Watchlist",Parametry!$B$22,Parametry!$B$23))),IFERROR(INDEX(Ciselniky!$H$3:$H$10,MATCH(AT37,Ciselniky!$F$3:$F$10,0)),0)))</f>
        <v/>
      </c>
      <c r="AC37" s="17" t="str">
        <f>IF(AA37="","",IF(AA37="Stop",0,IF(AA37="Nízké riziko",Parametry!$B$24,IF(AA37="Střední riziko",Parametry!$B$25,IF(AA37="Watchlist",Parametry!$B$26,0)))+IFERROR(INDEX(Ciselniky!$I$3:$I$10,MATCH(AT37,Ciselniky!$F$3:$F$10,0)),0)))</f>
        <v/>
      </c>
      <c r="AD37" t="str">
        <f t="shared" si="5"/>
        <v/>
      </c>
      <c r="AE37">
        <f t="shared" si="6"/>
        <v>0</v>
      </c>
      <c r="AF37">
        <f t="shared" si="7"/>
        <v>0</v>
      </c>
      <c r="AG37">
        <f>Parametry!$B$28</f>
        <v>5800000</v>
      </c>
      <c r="AH37" s="17" t="str">
        <f t="shared" si="8"/>
        <v/>
      </c>
      <c r="AI37" s="17">
        <f>IFERROR(AF37/Parametry!$B$28,"")</f>
        <v>0</v>
      </c>
      <c r="AJ37" s="17">
        <f>IFERROR(AE37/Parametry!$B$28,"")</f>
        <v>0</v>
      </c>
      <c r="AK37" t="str">
        <f>IF(OR(A37="",E37=""),"",MAX(0,100-IF(Parametry!$B$27="early",0.5,IF(Parametry!$B$27="growth",0.75,1))*(IF(AI37&lt;=Parametry!$B$34,0,IF(AI37&lt;=Parametry!$B$34+0.05,8,20))+IF(AH37&lt;=Parametry!$B$35,0,12)+IF(AJ37&lt;=Parametry!$B$36,0,12))))</f>
        <v/>
      </c>
      <c r="AL37" t="str">
        <f>IF(OR(A37="",E37=""),"",IF(Parametry!$B$27="early",IF(OR(AI37&gt;Parametry!$B$34*1.2,AH37&gt;Parametry!$B$35*1.3),"EARLY STAGE EXCEPTION","OK"),IF(Parametry!$B$27="growth",IF(OR(AI37&gt;Parametry!$B$34*1.35,AH37&gt;Parametry!$B$35*1.4),"RED FLAG","OK"),IF(OR(AI37&gt;Parametry!$B$34*1.2,AH37&gt;Parametry!$B$35*1.3),"RED FLAG","OK"))))</f>
        <v/>
      </c>
      <c r="AM37" t="str">
        <f>IF(OR(A37="",E37=""),"",IF(COUNTIF($A$6:A37,A37)=1,AF37,""))</f>
        <v/>
      </c>
      <c r="AN37" t="str">
        <f t="shared" si="9"/>
        <v/>
      </c>
      <c r="AO37" t="str">
        <f t="shared" si="10"/>
        <v/>
      </c>
      <c r="AP37" t="str">
        <f t="shared" si="11"/>
        <v/>
      </c>
      <c r="AQ37" s="14" t="str">
        <f t="shared" si="12"/>
        <v/>
      </c>
      <c r="AR37" t="str">
        <f t="shared" si="13"/>
        <v/>
      </c>
      <c r="AS37" t="str">
        <f t="shared" si="14"/>
        <v/>
      </c>
      <c r="AT37" s="23" t="str">
        <f>IF(A37="","",IF(COUNTIF(Ciselniky!$L$3:$L$200,A37)=0,"NR",IF(INDEX(Ciselniky!$M$3:$M$200,MATCH(A37,Ciselniky!$L$3:$L$200,0))="","NR",INDEX(Ciselniky!$M$3:$M$200,MATCH(A37,Ciselniky!$L$3:$L$200,0)))))</f>
        <v/>
      </c>
      <c r="AU37" t="str">
        <f>IF(A37="","",IF(AT37="NR","doplňit rating v Ciselniky",IFERROR(IF(INDEX(Ciselniky!$N$3:$N$200,MATCH(A37,Ciselniky!$L$3:$L$200,0))="","anchor master",INDEX(Ciselniky!$N$3:$N$200,MATCH(A37,Ciselniky!$L$3:$L$200,0))),"anchor master")))</f>
        <v/>
      </c>
      <c r="AV37" s="14" t="str">
        <f>IF(AT37="","",IFERROR(INDEX(Ciselniky!$G$3:$G$10,MATCH(AT37,Ciselniky!$F$3:$F$10,0)),0))</f>
        <v/>
      </c>
      <c r="AW37" t="str">
        <f>IF(AT37="","",IFERROR(INDEX(Ciselniky!$J$3:$J$10,MATCH(AT37,Ciselniky!$F$3:$F$10,0)),"MANUAL"))</f>
        <v/>
      </c>
      <c r="AX37" s="14" t="str">
        <f t="shared" si="15"/>
        <v/>
      </c>
      <c r="AY37" s="27" t="str">
        <f>IF(OR(A37="",E37=""),"",AV37*Parametry!$B$41)</f>
        <v/>
      </c>
      <c r="AZ37" s="27" t="str">
        <f>IF(OR(A37="",E37=""),"",AX37*Parametry!$B$42)</f>
        <v/>
      </c>
      <c r="BA37" s="27" t="str">
        <f>IF(OR(A37="",E37=""),"",AK37*Parametry!$B$43)</f>
        <v/>
      </c>
      <c r="BB37" s="14" t="str">
        <f>IF(OR(A37="",E37=""),"",IF(AW37="STOP",-100,IF(AT37="BB",Parametry!$B$47,IF(AT37="NR",Parametry!$B$48,0))))</f>
        <v/>
      </c>
    </row>
    <row r="38" spans="1:54" ht="21.75" customHeight="1" x14ac:dyDescent="0.2">
      <c r="A38" s="23"/>
      <c r="B38" s="23"/>
      <c r="C38" s="23"/>
      <c r="D38" s="23"/>
      <c r="E38" s="23"/>
      <c r="F38" s="23"/>
      <c r="G38" s="23"/>
      <c r="H38" s="23"/>
      <c r="I38" t="str">
        <f>IF(A38="","",IF(AND(Parametry!$B$39="ANO",B38&lt;&gt;""),COUNTIFS(Historie!$A$2:$A$2000,A38,Historie!$B$2:$B$2000,B38,Historie!$E$2:$E$2000,"&lt;&gt;"),COUNTIFS(Historie!$A$2:$A$2000,A38,Historie!$E$2:$E$2000,"&lt;&gt;")))</f>
        <v/>
      </c>
      <c r="J38" s="14" t="str">
        <f>IF(I38=0,"",IFERROR(IF(AND(Parametry!$B$39="ANO",B38&lt;&gt;""),AVERAGEIFS(Historie!$F$2:$F$2000,Historie!$A$2:$A$2000,A38,Historie!$B$2:$B$2000,B38,Historie!$E$2:$E$2000,"&lt;&gt;"),AVERAGEIFS(Historie!$F$2:$F$2000,Historie!$A$2:$A$2000,A38,Historie!$E$2:$E$2000,"&lt;&gt;")),""))</f>
        <v/>
      </c>
      <c r="K38" s="25">
        <f>IF(I38=0,"",IFERROR(IF(AND(Parametry!$B$39="ANO",B38&lt;&gt;""),COUNTIFS(Historie!$A$2:$A$2000,A38,Historie!$B$2:$B$2000,B38,Historie!$E$2:$E$2000,"&lt;&gt;",Historie!$F$2:$F$2000,"&gt;0")/I38,COUNTIFS(Historie!$A$2:$A$2000,A38,Historie!$E$2:$E$2000,"&lt;&gt;",Historie!$F$2:$F$2000,"&gt;0")/I38),0))</f>
        <v>0</v>
      </c>
      <c r="L38" t="str">
        <f>IF(OR(A38="",I38=0),"",IFERROR(DATEDIF(IF(AND(Parametry!$B$39="ANO",B38&lt;&gt;""),_xludf.minifs(Historie!$E$2:$E$2000,Historie!$A$2:$A$2000,A38,Historie!$B$2:$B$2000,B38,Historie!$E$2:$E$2000,"&lt;&gt;"),_xludf.minifs(Historie!$E$2:$E$2000,Historie!$A$2:$A$2000,A38,Historie!$E$2:$E$2000,"&lt;&gt;")),IF(AND(Parametry!$B$39="ANO",B38&lt;&gt;""),_xludf.maxifs(Historie!$E$2:$E$2000,Historie!$A$2:$A$2000,A38,Historie!$B$2:$B$2000,B38,Historie!$E$2:$E$2000,"&lt;&gt;"),_xludf.maxifs(Historie!$E$2:$E$2000,Historie!$A$2:$A$2000,A38,Historie!$E$2:$E$2000,"&lt;&gt;")),"M"),0))</f>
        <v/>
      </c>
      <c r="M38" s="1" t="str">
        <f>IF(A38="","",IFERROR(IF(AND(Parametry!$B$39="ANO",B38&lt;&gt;""),AVERAGEIFS(Historie!$C$2:$C$2000,Historie!$A$2:$A$2000,A38,Historie!$B$2:$B$2000,B38,Historie!$E$2:$E$2000,"&lt;&gt;"),AVERAGEIFS(Historie!$C$2:$C$2000,Historie!$A$2:$A$2000,A38,Historie!$E$2:$E$2000,"&lt;&gt;")),""))</f>
        <v/>
      </c>
      <c r="N38" t="str">
        <f t="shared" ca="1" si="0"/>
        <v/>
      </c>
      <c r="O38" t="str">
        <f t="shared" si="1"/>
        <v/>
      </c>
      <c r="P38" t="str">
        <f t="shared" si="2"/>
        <v/>
      </c>
      <c r="Q38" s="26" t="str">
        <f t="shared" si="3"/>
        <v/>
      </c>
      <c r="R38" t="str">
        <f>IF(OR(A38="",E38=""),"",IF(I38&gt;=Parametry!$B$4,Parametry!$B$9,0))</f>
        <v/>
      </c>
      <c r="S38" t="str">
        <f>IF(OR(A38="",E38=""),"",IF(I38&gt;0,IF(J38&lt;=Parametry!$B$5,Parametry!$B$10,0),0))</f>
        <v/>
      </c>
      <c r="T38" t="str">
        <f>IF(OR(A38="",E38=""),"",IF(I38&gt;0,IF(K38&lt;=Parametry!$B$6,Parametry!$B$11,0),0))</f>
        <v/>
      </c>
      <c r="U38" t="str">
        <f>IF(OR(A38="",E38=""),"",IF(L38&gt;=Parametry!$B$7,Parametry!$B$12,0))</f>
        <v/>
      </c>
      <c r="V38" t="str">
        <f>IF(OR(A38="",E38=""),"",IF(M38&gt;0,IF(Q38&lt;=Parametry!$B$8,Parametry!$B$13,0),0))</f>
        <v/>
      </c>
      <c r="W38" t="str">
        <f>IF(OR(A38="",E38=""),"",IF(P38="ANO",Parametry!$B$14,0))</f>
        <v/>
      </c>
      <c r="X38" t="str">
        <f>IF(OR(A38="",E38=""),"",IF(G38="ANO",Parametry!$B$15,0))</f>
        <v/>
      </c>
      <c r="Y38" t="str">
        <f>IF(OR(A38="",E38=""),"",IF(H38="ANO",Parametry!$B$16,0))</f>
        <v/>
      </c>
      <c r="Z38" t="str">
        <f t="shared" si="4"/>
        <v/>
      </c>
      <c r="AA38" t="str">
        <f>IF(Z38="","",IF(AW38="STOP","Stop",IF(AW38="MANUAL",IF(Z38&gt;=Parametry!$B$19,"Watchlist","Stop"),IF(Z38&gt;=Parametry!$B$17,"Nízké riziko",IF(Z38&gt;=Parametry!$B$18,"Střední riziko",IF(Z38&gt;=Parametry!$B$19,"Watchlist","Stop"))))))</f>
        <v/>
      </c>
      <c r="AB38" s="17" t="str">
        <f>IF(AA38="","",MIN(IF(AA38="Nízké riziko",Parametry!$B$20,IF(AA38="Střední riziko",Parametry!$B$21,IF(AA38="Watchlist",Parametry!$B$22,Parametry!$B$23))),IFERROR(INDEX(Ciselniky!$H$3:$H$10,MATCH(AT38,Ciselniky!$F$3:$F$10,0)),0)))</f>
        <v/>
      </c>
      <c r="AC38" s="17" t="str">
        <f>IF(AA38="","",IF(AA38="Stop",0,IF(AA38="Nízké riziko",Parametry!$B$24,IF(AA38="Střední riziko",Parametry!$B$25,IF(AA38="Watchlist",Parametry!$B$26,0)))+IFERROR(INDEX(Ciselniky!$I$3:$I$10,MATCH(AT38,Ciselniky!$F$3:$F$10,0)),0)))</f>
        <v/>
      </c>
      <c r="AD38" t="str">
        <f t="shared" si="5"/>
        <v/>
      </c>
      <c r="AE38">
        <f t="shared" si="6"/>
        <v>0</v>
      </c>
      <c r="AF38">
        <f t="shared" si="7"/>
        <v>0</v>
      </c>
      <c r="AG38">
        <f>Parametry!$B$28</f>
        <v>5800000</v>
      </c>
      <c r="AH38" s="17" t="str">
        <f t="shared" si="8"/>
        <v/>
      </c>
      <c r="AI38" s="17">
        <f>IFERROR(AF38/Parametry!$B$28,"")</f>
        <v>0</v>
      </c>
      <c r="AJ38" s="17">
        <f>IFERROR(AE38/Parametry!$B$28,"")</f>
        <v>0</v>
      </c>
      <c r="AK38" t="str">
        <f>IF(OR(A38="",E38=""),"",MAX(0,100-IF(Parametry!$B$27="early",0.5,IF(Parametry!$B$27="growth",0.75,1))*(IF(AI38&lt;=Parametry!$B$34,0,IF(AI38&lt;=Parametry!$B$34+0.05,8,20))+IF(AH38&lt;=Parametry!$B$35,0,12)+IF(AJ38&lt;=Parametry!$B$36,0,12))))</f>
        <v/>
      </c>
      <c r="AL38" t="str">
        <f>IF(OR(A38="",E38=""),"",IF(Parametry!$B$27="early",IF(OR(AI38&gt;Parametry!$B$34*1.2,AH38&gt;Parametry!$B$35*1.3),"EARLY STAGE EXCEPTION","OK"),IF(Parametry!$B$27="growth",IF(OR(AI38&gt;Parametry!$B$34*1.35,AH38&gt;Parametry!$B$35*1.4),"RED FLAG","OK"),IF(OR(AI38&gt;Parametry!$B$34*1.2,AH38&gt;Parametry!$B$35*1.3),"RED FLAG","OK"))))</f>
        <v/>
      </c>
      <c r="AM38" t="str">
        <f>IF(OR(A38="",E38=""),"",IF(COUNTIF($A$6:A38,A38)=1,AF38,""))</f>
        <v/>
      </c>
      <c r="AN38" t="str">
        <f t="shared" si="9"/>
        <v/>
      </c>
      <c r="AO38" t="str">
        <f t="shared" si="10"/>
        <v/>
      </c>
      <c r="AP38" t="str">
        <f t="shared" si="11"/>
        <v/>
      </c>
      <c r="AQ38" s="14" t="str">
        <f t="shared" si="12"/>
        <v/>
      </c>
      <c r="AR38" t="str">
        <f t="shared" si="13"/>
        <v/>
      </c>
      <c r="AS38" t="str">
        <f t="shared" si="14"/>
        <v/>
      </c>
      <c r="AT38" s="23" t="str">
        <f>IF(A38="","",IF(COUNTIF(Ciselniky!$L$3:$L$200,A38)=0,"NR",IF(INDEX(Ciselniky!$M$3:$M$200,MATCH(A38,Ciselniky!$L$3:$L$200,0))="","NR",INDEX(Ciselniky!$M$3:$M$200,MATCH(A38,Ciselniky!$L$3:$L$200,0)))))</f>
        <v/>
      </c>
      <c r="AU38" t="str">
        <f>IF(A38="","",IF(AT38="NR","doplňit rating v Ciselniky",IFERROR(IF(INDEX(Ciselniky!$N$3:$N$200,MATCH(A38,Ciselniky!$L$3:$L$200,0))="","anchor master",INDEX(Ciselniky!$N$3:$N$200,MATCH(A38,Ciselniky!$L$3:$L$200,0))),"anchor master")))</f>
        <v/>
      </c>
      <c r="AV38" s="14" t="str">
        <f>IF(AT38="","",IFERROR(INDEX(Ciselniky!$G$3:$G$10,MATCH(AT38,Ciselniky!$F$3:$F$10,0)),0))</f>
        <v/>
      </c>
      <c r="AW38" t="str">
        <f>IF(AT38="","",IFERROR(INDEX(Ciselniky!$J$3:$J$10,MATCH(AT38,Ciselniky!$F$3:$F$10,0)),"MANUAL"))</f>
        <v/>
      </c>
      <c r="AX38" s="14" t="str">
        <f t="shared" si="15"/>
        <v/>
      </c>
      <c r="AY38" s="27" t="str">
        <f>IF(OR(A38="",E38=""),"",AV38*Parametry!$B$41)</f>
        <v/>
      </c>
      <c r="AZ38" s="27" t="str">
        <f>IF(OR(A38="",E38=""),"",AX38*Parametry!$B$42)</f>
        <v/>
      </c>
      <c r="BA38" s="27" t="str">
        <f>IF(OR(A38="",E38=""),"",AK38*Parametry!$B$43)</f>
        <v/>
      </c>
      <c r="BB38" s="14" t="str">
        <f>IF(OR(A38="",E38=""),"",IF(AW38="STOP",-100,IF(AT38="BB",Parametry!$B$47,IF(AT38="NR",Parametry!$B$48,0))))</f>
        <v/>
      </c>
    </row>
    <row r="39" spans="1:54" ht="21.75" customHeight="1" x14ac:dyDescent="0.2">
      <c r="A39" s="23"/>
      <c r="B39" s="23"/>
      <c r="C39" s="23"/>
      <c r="D39" s="23"/>
      <c r="E39" s="23"/>
      <c r="F39" s="23"/>
      <c r="G39" s="23"/>
      <c r="H39" s="23"/>
      <c r="I39" t="str">
        <f>IF(A39="","",IF(AND(Parametry!$B$39="ANO",B39&lt;&gt;""),COUNTIFS(Historie!$A$2:$A$2000,A39,Historie!$B$2:$B$2000,B39,Historie!$E$2:$E$2000,"&lt;&gt;"),COUNTIFS(Historie!$A$2:$A$2000,A39,Historie!$E$2:$E$2000,"&lt;&gt;")))</f>
        <v/>
      </c>
      <c r="J39" s="14" t="str">
        <f>IF(I39=0,"",IFERROR(IF(AND(Parametry!$B$39="ANO",B39&lt;&gt;""),AVERAGEIFS(Historie!$F$2:$F$2000,Historie!$A$2:$A$2000,A39,Historie!$B$2:$B$2000,B39,Historie!$E$2:$E$2000,"&lt;&gt;"),AVERAGEIFS(Historie!$F$2:$F$2000,Historie!$A$2:$A$2000,A39,Historie!$E$2:$E$2000,"&lt;&gt;")),""))</f>
        <v/>
      </c>
      <c r="K39" s="25">
        <f>IF(I39=0,"",IFERROR(IF(AND(Parametry!$B$39="ANO",B39&lt;&gt;""),COUNTIFS(Historie!$A$2:$A$2000,A39,Historie!$B$2:$B$2000,B39,Historie!$E$2:$E$2000,"&lt;&gt;",Historie!$F$2:$F$2000,"&gt;0")/I39,COUNTIFS(Historie!$A$2:$A$2000,A39,Historie!$E$2:$E$2000,"&lt;&gt;",Historie!$F$2:$F$2000,"&gt;0")/I39),0))</f>
        <v>0</v>
      </c>
      <c r="L39" t="str">
        <f>IF(OR(A39="",I39=0),"",IFERROR(DATEDIF(IF(AND(Parametry!$B$39="ANO",B39&lt;&gt;""),_xludf.minifs(Historie!$E$2:$E$2000,Historie!$A$2:$A$2000,A39,Historie!$B$2:$B$2000,B39,Historie!$E$2:$E$2000,"&lt;&gt;"),_xludf.minifs(Historie!$E$2:$E$2000,Historie!$A$2:$A$2000,A39,Historie!$E$2:$E$2000,"&lt;&gt;")),IF(AND(Parametry!$B$39="ANO",B39&lt;&gt;""),_xludf.maxifs(Historie!$E$2:$E$2000,Historie!$A$2:$A$2000,A39,Historie!$B$2:$B$2000,B39,Historie!$E$2:$E$2000,"&lt;&gt;"),_xludf.maxifs(Historie!$E$2:$E$2000,Historie!$A$2:$A$2000,A39,Historie!$E$2:$E$2000,"&lt;&gt;")),"M"),0))</f>
        <v/>
      </c>
      <c r="M39" s="1" t="str">
        <f>IF(A39="","",IFERROR(IF(AND(Parametry!$B$39="ANO",B39&lt;&gt;""),AVERAGEIFS(Historie!$C$2:$C$2000,Historie!$A$2:$A$2000,A39,Historie!$B$2:$B$2000,B39,Historie!$E$2:$E$2000,"&lt;&gt;"),AVERAGEIFS(Historie!$C$2:$C$2000,Historie!$A$2:$A$2000,A39,Historie!$E$2:$E$2000,"&lt;&gt;")),""))</f>
        <v/>
      </c>
      <c r="N39" t="str">
        <f t="shared" ca="1" si="0"/>
        <v/>
      </c>
      <c r="O39" t="str">
        <f t="shared" si="1"/>
        <v/>
      </c>
      <c r="P39" t="str">
        <f t="shared" si="2"/>
        <v/>
      </c>
      <c r="Q39" s="26" t="str">
        <f t="shared" si="3"/>
        <v/>
      </c>
      <c r="R39" t="str">
        <f>IF(OR(A39="",E39=""),"",IF(I39&gt;=Parametry!$B$4,Parametry!$B$9,0))</f>
        <v/>
      </c>
      <c r="S39" t="str">
        <f>IF(OR(A39="",E39=""),"",IF(I39&gt;0,IF(J39&lt;=Parametry!$B$5,Parametry!$B$10,0),0))</f>
        <v/>
      </c>
      <c r="T39" t="str">
        <f>IF(OR(A39="",E39=""),"",IF(I39&gt;0,IF(K39&lt;=Parametry!$B$6,Parametry!$B$11,0),0))</f>
        <v/>
      </c>
      <c r="U39" t="str">
        <f>IF(OR(A39="",E39=""),"",IF(L39&gt;=Parametry!$B$7,Parametry!$B$12,0))</f>
        <v/>
      </c>
      <c r="V39" t="str">
        <f>IF(OR(A39="",E39=""),"",IF(M39&gt;0,IF(Q39&lt;=Parametry!$B$8,Parametry!$B$13,0),0))</f>
        <v/>
      </c>
      <c r="W39" t="str">
        <f>IF(OR(A39="",E39=""),"",IF(P39="ANO",Parametry!$B$14,0))</f>
        <v/>
      </c>
      <c r="X39" t="str">
        <f>IF(OR(A39="",E39=""),"",IF(G39="ANO",Parametry!$B$15,0))</f>
        <v/>
      </c>
      <c r="Y39" t="str">
        <f>IF(OR(A39="",E39=""),"",IF(H39="ANO",Parametry!$B$16,0))</f>
        <v/>
      </c>
      <c r="Z39" t="str">
        <f t="shared" si="4"/>
        <v/>
      </c>
      <c r="AA39" t="str">
        <f>IF(Z39="","",IF(AW39="STOP","Stop",IF(AW39="MANUAL",IF(Z39&gt;=Parametry!$B$19,"Watchlist","Stop"),IF(Z39&gt;=Parametry!$B$17,"Nízké riziko",IF(Z39&gt;=Parametry!$B$18,"Střední riziko",IF(Z39&gt;=Parametry!$B$19,"Watchlist","Stop"))))))</f>
        <v/>
      </c>
      <c r="AB39" s="17" t="str">
        <f>IF(AA39="","",MIN(IF(AA39="Nízké riziko",Parametry!$B$20,IF(AA39="Střední riziko",Parametry!$B$21,IF(AA39="Watchlist",Parametry!$B$22,Parametry!$B$23))),IFERROR(INDEX(Ciselniky!$H$3:$H$10,MATCH(AT39,Ciselniky!$F$3:$F$10,0)),0)))</f>
        <v/>
      </c>
      <c r="AC39" s="17" t="str">
        <f>IF(AA39="","",IF(AA39="Stop",0,IF(AA39="Nízké riziko",Parametry!$B$24,IF(AA39="Střední riziko",Parametry!$B$25,IF(AA39="Watchlist",Parametry!$B$26,0)))+IFERROR(INDEX(Ciselniky!$I$3:$I$10,MATCH(AT39,Ciselniky!$F$3:$F$10,0)),0)))</f>
        <v/>
      </c>
      <c r="AD39" t="str">
        <f t="shared" si="5"/>
        <v/>
      </c>
      <c r="AE39">
        <f t="shared" si="6"/>
        <v>0</v>
      </c>
      <c r="AF39">
        <f t="shared" si="7"/>
        <v>0</v>
      </c>
      <c r="AG39">
        <f>Parametry!$B$28</f>
        <v>5800000</v>
      </c>
      <c r="AH39" s="17" t="str">
        <f t="shared" si="8"/>
        <v/>
      </c>
      <c r="AI39" s="17">
        <f>IFERROR(AF39/Parametry!$B$28,"")</f>
        <v>0</v>
      </c>
      <c r="AJ39" s="17">
        <f>IFERROR(AE39/Parametry!$B$28,"")</f>
        <v>0</v>
      </c>
      <c r="AK39" t="str">
        <f>IF(OR(A39="",E39=""),"",MAX(0,100-IF(Parametry!$B$27="early",0.5,IF(Parametry!$B$27="growth",0.75,1))*(IF(AI39&lt;=Parametry!$B$34,0,IF(AI39&lt;=Parametry!$B$34+0.05,8,20))+IF(AH39&lt;=Parametry!$B$35,0,12)+IF(AJ39&lt;=Parametry!$B$36,0,12))))</f>
        <v/>
      </c>
      <c r="AL39" t="str">
        <f>IF(OR(A39="",E39=""),"",IF(Parametry!$B$27="early",IF(OR(AI39&gt;Parametry!$B$34*1.2,AH39&gt;Parametry!$B$35*1.3),"EARLY STAGE EXCEPTION","OK"),IF(Parametry!$B$27="growth",IF(OR(AI39&gt;Parametry!$B$34*1.35,AH39&gt;Parametry!$B$35*1.4),"RED FLAG","OK"),IF(OR(AI39&gt;Parametry!$B$34*1.2,AH39&gt;Parametry!$B$35*1.3),"RED FLAG","OK"))))</f>
        <v/>
      </c>
      <c r="AM39" t="str">
        <f>IF(OR(A39="",E39=""),"",IF(COUNTIF($A$6:A39,A39)=1,AF39,""))</f>
        <v/>
      </c>
      <c r="AN39" t="str">
        <f t="shared" si="9"/>
        <v/>
      </c>
      <c r="AO39" t="str">
        <f t="shared" si="10"/>
        <v/>
      </c>
      <c r="AP39" t="str">
        <f t="shared" si="11"/>
        <v/>
      </c>
      <c r="AQ39" s="14" t="str">
        <f t="shared" si="12"/>
        <v/>
      </c>
      <c r="AR39" t="str">
        <f t="shared" si="13"/>
        <v/>
      </c>
      <c r="AS39" t="str">
        <f t="shared" si="14"/>
        <v/>
      </c>
      <c r="AT39" s="23" t="str">
        <f>IF(A39="","",IF(COUNTIF(Ciselniky!$L$3:$L$200,A39)=0,"NR",IF(INDEX(Ciselniky!$M$3:$M$200,MATCH(A39,Ciselniky!$L$3:$L$200,0))="","NR",INDEX(Ciselniky!$M$3:$M$200,MATCH(A39,Ciselniky!$L$3:$L$200,0)))))</f>
        <v/>
      </c>
      <c r="AU39" t="str">
        <f>IF(A39="","",IF(AT39="NR","doplňit rating v Ciselniky",IFERROR(IF(INDEX(Ciselniky!$N$3:$N$200,MATCH(A39,Ciselniky!$L$3:$L$200,0))="","anchor master",INDEX(Ciselniky!$N$3:$N$200,MATCH(A39,Ciselniky!$L$3:$L$200,0))),"anchor master")))</f>
        <v/>
      </c>
      <c r="AV39" s="14" t="str">
        <f>IF(AT39="","",IFERROR(INDEX(Ciselniky!$G$3:$G$10,MATCH(AT39,Ciselniky!$F$3:$F$10,0)),0))</f>
        <v/>
      </c>
      <c r="AW39" t="str">
        <f>IF(AT39="","",IFERROR(INDEX(Ciselniky!$J$3:$J$10,MATCH(AT39,Ciselniky!$F$3:$F$10,0)),"MANUAL"))</f>
        <v/>
      </c>
      <c r="AX39" s="14" t="str">
        <f t="shared" si="15"/>
        <v/>
      </c>
      <c r="AY39" s="27" t="str">
        <f>IF(OR(A39="",E39=""),"",AV39*Parametry!$B$41)</f>
        <v/>
      </c>
      <c r="AZ39" s="27" t="str">
        <f>IF(OR(A39="",E39=""),"",AX39*Parametry!$B$42)</f>
        <v/>
      </c>
      <c r="BA39" s="27" t="str">
        <f>IF(OR(A39="",E39=""),"",AK39*Parametry!$B$43)</f>
        <v/>
      </c>
      <c r="BB39" s="14" t="str">
        <f>IF(OR(A39="",E39=""),"",IF(AW39="STOP",-100,IF(AT39="BB",Parametry!$B$47,IF(AT39="NR",Parametry!$B$48,0))))</f>
        <v/>
      </c>
    </row>
    <row r="40" spans="1:54" ht="21.75" customHeight="1" x14ac:dyDescent="0.2">
      <c r="A40" s="23"/>
      <c r="B40" s="23"/>
      <c r="C40" s="23"/>
      <c r="D40" s="23"/>
      <c r="E40" s="23"/>
      <c r="F40" s="23"/>
      <c r="G40" s="23"/>
      <c r="H40" s="23"/>
      <c r="I40" t="str">
        <f>IF(A40="","",IF(AND(Parametry!$B$39="ANO",B40&lt;&gt;""),COUNTIFS(Historie!$A$2:$A$2000,A40,Historie!$B$2:$B$2000,B40,Historie!$E$2:$E$2000,"&lt;&gt;"),COUNTIFS(Historie!$A$2:$A$2000,A40,Historie!$E$2:$E$2000,"&lt;&gt;")))</f>
        <v/>
      </c>
      <c r="J40" s="14" t="str">
        <f>IF(I40=0,"",IFERROR(IF(AND(Parametry!$B$39="ANO",B40&lt;&gt;""),AVERAGEIFS(Historie!$F$2:$F$2000,Historie!$A$2:$A$2000,A40,Historie!$B$2:$B$2000,B40,Historie!$E$2:$E$2000,"&lt;&gt;"),AVERAGEIFS(Historie!$F$2:$F$2000,Historie!$A$2:$A$2000,A40,Historie!$E$2:$E$2000,"&lt;&gt;")),""))</f>
        <v/>
      </c>
      <c r="K40" s="25">
        <f>IF(I40=0,"",IFERROR(IF(AND(Parametry!$B$39="ANO",B40&lt;&gt;""),COUNTIFS(Historie!$A$2:$A$2000,A40,Historie!$B$2:$B$2000,B40,Historie!$E$2:$E$2000,"&lt;&gt;",Historie!$F$2:$F$2000,"&gt;0")/I40,COUNTIFS(Historie!$A$2:$A$2000,A40,Historie!$E$2:$E$2000,"&lt;&gt;",Historie!$F$2:$F$2000,"&gt;0")/I40),0))</f>
        <v>0</v>
      </c>
      <c r="L40" t="str">
        <f>IF(OR(A40="",I40=0),"",IFERROR(DATEDIF(IF(AND(Parametry!$B$39="ANO",B40&lt;&gt;""),_xludf.minifs(Historie!$E$2:$E$2000,Historie!$A$2:$A$2000,A40,Historie!$B$2:$B$2000,B40,Historie!$E$2:$E$2000,"&lt;&gt;"),_xludf.minifs(Historie!$E$2:$E$2000,Historie!$A$2:$A$2000,A40,Historie!$E$2:$E$2000,"&lt;&gt;")),IF(AND(Parametry!$B$39="ANO",B40&lt;&gt;""),_xludf.maxifs(Historie!$E$2:$E$2000,Historie!$A$2:$A$2000,A40,Historie!$B$2:$B$2000,B40,Historie!$E$2:$E$2000,"&lt;&gt;"),_xludf.maxifs(Historie!$E$2:$E$2000,Historie!$A$2:$A$2000,A40,Historie!$E$2:$E$2000,"&lt;&gt;")),"M"),0))</f>
        <v/>
      </c>
      <c r="M40" s="1" t="str">
        <f>IF(A40="","",IFERROR(IF(AND(Parametry!$B$39="ANO",B40&lt;&gt;""),AVERAGEIFS(Historie!$C$2:$C$2000,Historie!$A$2:$A$2000,A40,Historie!$B$2:$B$2000,B40,Historie!$E$2:$E$2000,"&lt;&gt;"),AVERAGEIFS(Historie!$C$2:$C$2000,Historie!$A$2:$A$2000,A40,Historie!$E$2:$E$2000,"&lt;&gt;")),""))</f>
        <v/>
      </c>
      <c r="N40" t="str">
        <f t="shared" ca="1" si="0"/>
        <v/>
      </c>
      <c r="O40" t="str">
        <f t="shared" si="1"/>
        <v/>
      </c>
      <c r="P40" t="str">
        <f t="shared" si="2"/>
        <v/>
      </c>
      <c r="Q40" s="26" t="str">
        <f t="shared" si="3"/>
        <v/>
      </c>
      <c r="R40" t="str">
        <f>IF(OR(A40="",E40=""),"",IF(I40&gt;=Parametry!$B$4,Parametry!$B$9,0))</f>
        <v/>
      </c>
      <c r="S40" t="str">
        <f>IF(OR(A40="",E40=""),"",IF(I40&gt;0,IF(J40&lt;=Parametry!$B$5,Parametry!$B$10,0),0))</f>
        <v/>
      </c>
      <c r="T40" t="str">
        <f>IF(OR(A40="",E40=""),"",IF(I40&gt;0,IF(K40&lt;=Parametry!$B$6,Parametry!$B$11,0),0))</f>
        <v/>
      </c>
      <c r="U40" t="str">
        <f>IF(OR(A40="",E40=""),"",IF(L40&gt;=Parametry!$B$7,Parametry!$B$12,0))</f>
        <v/>
      </c>
      <c r="V40" t="str">
        <f>IF(OR(A40="",E40=""),"",IF(M40&gt;0,IF(Q40&lt;=Parametry!$B$8,Parametry!$B$13,0),0))</f>
        <v/>
      </c>
      <c r="W40" t="str">
        <f>IF(OR(A40="",E40=""),"",IF(P40="ANO",Parametry!$B$14,0))</f>
        <v/>
      </c>
      <c r="X40" t="str">
        <f>IF(OR(A40="",E40=""),"",IF(G40="ANO",Parametry!$B$15,0))</f>
        <v/>
      </c>
      <c r="Y40" t="str">
        <f>IF(OR(A40="",E40=""),"",IF(H40="ANO",Parametry!$B$16,0))</f>
        <v/>
      </c>
      <c r="Z40" t="str">
        <f t="shared" si="4"/>
        <v/>
      </c>
      <c r="AA40" t="str">
        <f>IF(Z40="","",IF(AW40="STOP","Stop",IF(AW40="MANUAL",IF(Z40&gt;=Parametry!$B$19,"Watchlist","Stop"),IF(Z40&gt;=Parametry!$B$17,"Nízké riziko",IF(Z40&gt;=Parametry!$B$18,"Střední riziko",IF(Z40&gt;=Parametry!$B$19,"Watchlist","Stop"))))))</f>
        <v/>
      </c>
      <c r="AB40" s="17" t="str">
        <f>IF(AA40="","",MIN(IF(AA40="Nízké riziko",Parametry!$B$20,IF(AA40="Střední riziko",Parametry!$B$21,IF(AA40="Watchlist",Parametry!$B$22,Parametry!$B$23))),IFERROR(INDEX(Ciselniky!$H$3:$H$10,MATCH(AT40,Ciselniky!$F$3:$F$10,0)),0)))</f>
        <v/>
      </c>
      <c r="AC40" s="17" t="str">
        <f>IF(AA40="","",IF(AA40="Stop",0,IF(AA40="Nízké riziko",Parametry!$B$24,IF(AA40="Střední riziko",Parametry!$B$25,IF(AA40="Watchlist",Parametry!$B$26,0)))+IFERROR(INDEX(Ciselniky!$I$3:$I$10,MATCH(AT40,Ciselniky!$F$3:$F$10,0)),0)))</f>
        <v/>
      </c>
      <c r="AD40" t="str">
        <f t="shared" si="5"/>
        <v/>
      </c>
      <c r="AE40">
        <f t="shared" si="6"/>
        <v>0</v>
      </c>
      <c r="AF40">
        <f t="shared" si="7"/>
        <v>0</v>
      </c>
      <c r="AG40">
        <f>Parametry!$B$28</f>
        <v>5800000</v>
      </c>
      <c r="AH40" s="17" t="str">
        <f t="shared" si="8"/>
        <v/>
      </c>
      <c r="AI40" s="17">
        <f>IFERROR(AF40/Parametry!$B$28,"")</f>
        <v>0</v>
      </c>
      <c r="AJ40" s="17">
        <f>IFERROR(AE40/Parametry!$B$28,"")</f>
        <v>0</v>
      </c>
      <c r="AK40" t="str">
        <f>IF(OR(A40="",E40=""),"",MAX(0,100-IF(Parametry!$B$27="early",0.5,IF(Parametry!$B$27="growth",0.75,1))*(IF(AI40&lt;=Parametry!$B$34,0,IF(AI40&lt;=Parametry!$B$34+0.05,8,20))+IF(AH40&lt;=Parametry!$B$35,0,12)+IF(AJ40&lt;=Parametry!$B$36,0,12))))</f>
        <v/>
      </c>
      <c r="AL40" t="str">
        <f>IF(OR(A40="",E40=""),"",IF(Parametry!$B$27="early",IF(OR(AI40&gt;Parametry!$B$34*1.2,AH40&gt;Parametry!$B$35*1.3),"EARLY STAGE EXCEPTION","OK"),IF(Parametry!$B$27="growth",IF(OR(AI40&gt;Parametry!$B$34*1.35,AH40&gt;Parametry!$B$35*1.4),"RED FLAG","OK"),IF(OR(AI40&gt;Parametry!$B$34*1.2,AH40&gt;Parametry!$B$35*1.3),"RED FLAG","OK"))))</f>
        <v/>
      </c>
      <c r="AM40" t="str">
        <f>IF(OR(A40="",E40=""),"",IF(COUNTIF($A$6:A40,A40)=1,AF40,""))</f>
        <v/>
      </c>
      <c r="AN40" t="str">
        <f t="shared" si="9"/>
        <v/>
      </c>
      <c r="AO40" t="str">
        <f t="shared" si="10"/>
        <v/>
      </c>
      <c r="AP40" t="str">
        <f t="shared" si="11"/>
        <v/>
      </c>
      <c r="AQ40" s="14" t="str">
        <f t="shared" si="12"/>
        <v/>
      </c>
      <c r="AR40" t="str">
        <f t="shared" si="13"/>
        <v/>
      </c>
      <c r="AS40" t="str">
        <f t="shared" si="14"/>
        <v/>
      </c>
      <c r="AT40" s="23" t="str">
        <f>IF(A40="","",IF(COUNTIF(Ciselniky!$L$3:$L$200,A40)=0,"NR",IF(INDEX(Ciselniky!$M$3:$M$200,MATCH(A40,Ciselniky!$L$3:$L$200,0))="","NR",INDEX(Ciselniky!$M$3:$M$200,MATCH(A40,Ciselniky!$L$3:$L$200,0)))))</f>
        <v/>
      </c>
      <c r="AU40" t="str">
        <f>IF(A40="","",IF(AT40="NR","doplňit rating v Ciselniky",IFERROR(IF(INDEX(Ciselniky!$N$3:$N$200,MATCH(A40,Ciselniky!$L$3:$L$200,0))="","anchor master",INDEX(Ciselniky!$N$3:$N$200,MATCH(A40,Ciselniky!$L$3:$L$200,0))),"anchor master")))</f>
        <v/>
      </c>
      <c r="AV40" s="14" t="str">
        <f>IF(AT40="","",IFERROR(INDEX(Ciselniky!$G$3:$G$10,MATCH(AT40,Ciselniky!$F$3:$F$10,0)),0))</f>
        <v/>
      </c>
      <c r="AW40" t="str">
        <f>IF(AT40="","",IFERROR(INDEX(Ciselniky!$J$3:$J$10,MATCH(AT40,Ciselniky!$F$3:$F$10,0)),"MANUAL"))</f>
        <v/>
      </c>
      <c r="AX40" s="14" t="str">
        <f t="shared" si="15"/>
        <v/>
      </c>
      <c r="AY40" s="27" t="str">
        <f>IF(OR(A40="",E40=""),"",AV40*Parametry!$B$41)</f>
        <v/>
      </c>
      <c r="AZ40" s="27" t="str">
        <f>IF(OR(A40="",E40=""),"",AX40*Parametry!$B$42)</f>
        <v/>
      </c>
      <c r="BA40" s="27" t="str">
        <f>IF(OR(A40="",E40=""),"",AK40*Parametry!$B$43)</f>
        <v/>
      </c>
      <c r="BB40" s="14" t="str">
        <f>IF(OR(A40="",E40=""),"",IF(AW40="STOP",-100,IF(AT40="BB",Parametry!$B$47,IF(AT40="NR",Parametry!$B$48,0))))</f>
        <v/>
      </c>
    </row>
    <row r="41" spans="1:54" ht="21.75" customHeight="1" x14ac:dyDescent="0.2">
      <c r="A41" s="23"/>
      <c r="B41" s="23"/>
      <c r="C41" s="23"/>
      <c r="D41" s="23"/>
      <c r="E41" s="23"/>
      <c r="F41" s="23"/>
      <c r="G41" s="23"/>
      <c r="H41" s="23"/>
      <c r="I41" t="str">
        <f>IF(A41="","",IF(AND(Parametry!$B$39="ANO",B41&lt;&gt;""),COUNTIFS(Historie!$A$2:$A$2000,A41,Historie!$B$2:$B$2000,B41,Historie!$E$2:$E$2000,"&lt;&gt;"),COUNTIFS(Historie!$A$2:$A$2000,A41,Historie!$E$2:$E$2000,"&lt;&gt;")))</f>
        <v/>
      </c>
      <c r="J41" s="14" t="str">
        <f>IF(I41=0,"",IFERROR(IF(AND(Parametry!$B$39="ANO",B41&lt;&gt;""),AVERAGEIFS(Historie!$F$2:$F$2000,Historie!$A$2:$A$2000,A41,Historie!$B$2:$B$2000,B41,Historie!$E$2:$E$2000,"&lt;&gt;"),AVERAGEIFS(Historie!$F$2:$F$2000,Historie!$A$2:$A$2000,A41,Historie!$E$2:$E$2000,"&lt;&gt;")),""))</f>
        <v/>
      </c>
      <c r="K41" s="25">
        <f>IF(I41=0,"",IFERROR(IF(AND(Parametry!$B$39="ANO",B41&lt;&gt;""),COUNTIFS(Historie!$A$2:$A$2000,A41,Historie!$B$2:$B$2000,B41,Historie!$E$2:$E$2000,"&lt;&gt;",Historie!$F$2:$F$2000,"&gt;0")/I41,COUNTIFS(Historie!$A$2:$A$2000,A41,Historie!$E$2:$E$2000,"&lt;&gt;",Historie!$F$2:$F$2000,"&gt;0")/I41),0))</f>
        <v>0</v>
      </c>
      <c r="L41" t="str">
        <f>IF(OR(A41="",I41=0),"",IFERROR(DATEDIF(IF(AND(Parametry!$B$39="ANO",B41&lt;&gt;""),_xludf.minifs(Historie!$E$2:$E$2000,Historie!$A$2:$A$2000,A41,Historie!$B$2:$B$2000,B41,Historie!$E$2:$E$2000,"&lt;&gt;"),_xludf.minifs(Historie!$E$2:$E$2000,Historie!$A$2:$A$2000,A41,Historie!$E$2:$E$2000,"&lt;&gt;")),IF(AND(Parametry!$B$39="ANO",B41&lt;&gt;""),_xludf.maxifs(Historie!$E$2:$E$2000,Historie!$A$2:$A$2000,A41,Historie!$B$2:$B$2000,B41,Historie!$E$2:$E$2000,"&lt;&gt;"),_xludf.maxifs(Historie!$E$2:$E$2000,Historie!$A$2:$A$2000,A41,Historie!$E$2:$E$2000,"&lt;&gt;")),"M"),0))</f>
        <v/>
      </c>
      <c r="M41" s="1" t="str">
        <f>IF(A41="","",IFERROR(IF(AND(Parametry!$B$39="ANO",B41&lt;&gt;""),AVERAGEIFS(Historie!$C$2:$C$2000,Historie!$A$2:$A$2000,A41,Historie!$B$2:$B$2000,B41,Historie!$E$2:$E$2000,"&lt;&gt;"),AVERAGEIFS(Historie!$C$2:$C$2000,Historie!$A$2:$A$2000,A41,Historie!$E$2:$E$2000,"&lt;&gt;")),""))</f>
        <v/>
      </c>
      <c r="N41" t="str">
        <f t="shared" ca="1" si="0"/>
        <v/>
      </c>
      <c r="O41" t="str">
        <f t="shared" si="1"/>
        <v/>
      </c>
      <c r="P41" t="str">
        <f t="shared" si="2"/>
        <v/>
      </c>
      <c r="Q41" s="26" t="str">
        <f t="shared" si="3"/>
        <v/>
      </c>
      <c r="R41" t="str">
        <f>IF(OR(A41="",E41=""),"",IF(I41&gt;=Parametry!$B$4,Parametry!$B$9,0))</f>
        <v/>
      </c>
      <c r="S41" t="str">
        <f>IF(OR(A41="",E41=""),"",IF(I41&gt;0,IF(J41&lt;=Parametry!$B$5,Parametry!$B$10,0),0))</f>
        <v/>
      </c>
      <c r="T41" t="str">
        <f>IF(OR(A41="",E41=""),"",IF(I41&gt;0,IF(K41&lt;=Parametry!$B$6,Parametry!$B$11,0),0))</f>
        <v/>
      </c>
      <c r="U41" t="str">
        <f>IF(OR(A41="",E41=""),"",IF(L41&gt;=Parametry!$B$7,Parametry!$B$12,0))</f>
        <v/>
      </c>
      <c r="V41" t="str">
        <f>IF(OR(A41="",E41=""),"",IF(M41&gt;0,IF(Q41&lt;=Parametry!$B$8,Parametry!$B$13,0),0))</f>
        <v/>
      </c>
      <c r="W41" t="str">
        <f>IF(OR(A41="",E41=""),"",IF(P41="ANO",Parametry!$B$14,0))</f>
        <v/>
      </c>
      <c r="X41" t="str">
        <f>IF(OR(A41="",E41=""),"",IF(G41="ANO",Parametry!$B$15,0))</f>
        <v/>
      </c>
      <c r="Y41" t="str">
        <f>IF(OR(A41="",E41=""),"",IF(H41="ANO",Parametry!$B$16,0))</f>
        <v/>
      </c>
      <c r="Z41" t="str">
        <f t="shared" si="4"/>
        <v/>
      </c>
      <c r="AA41" t="str">
        <f>IF(Z41="","",IF(AW41="STOP","Stop",IF(AW41="MANUAL",IF(Z41&gt;=Parametry!$B$19,"Watchlist","Stop"),IF(Z41&gt;=Parametry!$B$17,"Nízké riziko",IF(Z41&gt;=Parametry!$B$18,"Střední riziko",IF(Z41&gt;=Parametry!$B$19,"Watchlist","Stop"))))))</f>
        <v/>
      </c>
      <c r="AB41" s="17" t="str">
        <f>IF(AA41="","",MIN(IF(AA41="Nízké riziko",Parametry!$B$20,IF(AA41="Střední riziko",Parametry!$B$21,IF(AA41="Watchlist",Parametry!$B$22,Parametry!$B$23))),IFERROR(INDEX(Ciselniky!$H$3:$H$10,MATCH(AT41,Ciselniky!$F$3:$F$10,0)),0)))</f>
        <v/>
      </c>
      <c r="AC41" s="17" t="str">
        <f>IF(AA41="","",IF(AA41="Stop",0,IF(AA41="Nízké riziko",Parametry!$B$24,IF(AA41="Střední riziko",Parametry!$B$25,IF(AA41="Watchlist",Parametry!$B$26,0)))+IFERROR(INDEX(Ciselniky!$I$3:$I$10,MATCH(AT41,Ciselniky!$F$3:$F$10,0)),0)))</f>
        <v/>
      </c>
      <c r="AD41" t="str">
        <f t="shared" si="5"/>
        <v/>
      </c>
      <c r="AE41">
        <f t="shared" si="6"/>
        <v>0</v>
      </c>
      <c r="AF41">
        <f t="shared" si="7"/>
        <v>0</v>
      </c>
      <c r="AG41">
        <f>Parametry!$B$28</f>
        <v>5800000</v>
      </c>
      <c r="AH41" s="17" t="str">
        <f t="shared" si="8"/>
        <v/>
      </c>
      <c r="AI41" s="17">
        <f>IFERROR(AF41/Parametry!$B$28,"")</f>
        <v>0</v>
      </c>
      <c r="AJ41" s="17">
        <f>IFERROR(AE41/Parametry!$B$28,"")</f>
        <v>0</v>
      </c>
      <c r="AK41" t="str">
        <f>IF(OR(A41="",E41=""),"",MAX(0,100-IF(Parametry!$B$27="early",0.5,IF(Parametry!$B$27="growth",0.75,1))*(IF(AI41&lt;=Parametry!$B$34,0,IF(AI41&lt;=Parametry!$B$34+0.05,8,20))+IF(AH41&lt;=Parametry!$B$35,0,12)+IF(AJ41&lt;=Parametry!$B$36,0,12))))</f>
        <v/>
      </c>
      <c r="AL41" t="str">
        <f>IF(OR(A41="",E41=""),"",IF(Parametry!$B$27="early",IF(OR(AI41&gt;Parametry!$B$34*1.2,AH41&gt;Parametry!$B$35*1.3),"EARLY STAGE EXCEPTION","OK"),IF(Parametry!$B$27="growth",IF(OR(AI41&gt;Parametry!$B$34*1.35,AH41&gt;Parametry!$B$35*1.4),"RED FLAG","OK"),IF(OR(AI41&gt;Parametry!$B$34*1.2,AH41&gt;Parametry!$B$35*1.3),"RED FLAG","OK"))))</f>
        <v/>
      </c>
      <c r="AM41" t="str">
        <f>IF(OR(A41="",E41=""),"",IF(COUNTIF($A$6:A41,A41)=1,AF41,""))</f>
        <v/>
      </c>
      <c r="AN41" t="str">
        <f t="shared" si="9"/>
        <v/>
      </c>
      <c r="AO41" t="str">
        <f t="shared" si="10"/>
        <v/>
      </c>
      <c r="AP41" t="str">
        <f t="shared" si="11"/>
        <v/>
      </c>
      <c r="AQ41" s="14" t="str">
        <f t="shared" si="12"/>
        <v/>
      </c>
      <c r="AR41" t="str">
        <f t="shared" si="13"/>
        <v/>
      </c>
      <c r="AS41" t="str">
        <f t="shared" si="14"/>
        <v/>
      </c>
      <c r="AT41" s="23" t="str">
        <f>IF(A41="","",IF(COUNTIF(Ciselniky!$L$3:$L$200,A41)=0,"NR",IF(INDEX(Ciselniky!$M$3:$M$200,MATCH(A41,Ciselniky!$L$3:$L$200,0))="","NR",INDEX(Ciselniky!$M$3:$M$200,MATCH(A41,Ciselniky!$L$3:$L$200,0)))))</f>
        <v/>
      </c>
      <c r="AU41" t="str">
        <f>IF(A41="","",IF(AT41="NR","doplňit rating v Ciselniky",IFERROR(IF(INDEX(Ciselniky!$N$3:$N$200,MATCH(A41,Ciselniky!$L$3:$L$200,0))="","anchor master",INDEX(Ciselniky!$N$3:$N$200,MATCH(A41,Ciselniky!$L$3:$L$200,0))),"anchor master")))</f>
        <v/>
      </c>
      <c r="AV41" s="14" t="str">
        <f>IF(AT41="","",IFERROR(INDEX(Ciselniky!$G$3:$G$10,MATCH(AT41,Ciselniky!$F$3:$F$10,0)),0))</f>
        <v/>
      </c>
      <c r="AW41" t="str">
        <f>IF(AT41="","",IFERROR(INDEX(Ciselniky!$J$3:$J$10,MATCH(AT41,Ciselniky!$F$3:$F$10,0)),"MANUAL"))</f>
        <v/>
      </c>
      <c r="AX41" s="14" t="str">
        <f t="shared" si="15"/>
        <v/>
      </c>
      <c r="AY41" s="27" t="str">
        <f>IF(OR(A41="",E41=""),"",AV41*Parametry!$B$41)</f>
        <v/>
      </c>
      <c r="AZ41" s="27" t="str">
        <f>IF(OR(A41="",E41=""),"",AX41*Parametry!$B$42)</f>
        <v/>
      </c>
      <c r="BA41" s="27" t="str">
        <f>IF(OR(A41="",E41=""),"",AK41*Parametry!$B$43)</f>
        <v/>
      </c>
      <c r="BB41" s="14" t="str">
        <f>IF(OR(A41="",E41=""),"",IF(AW41="STOP",-100,IF(AT41="BB",Parametry!$B$47,IF(AT41="NR",Parametry!$B$48,0))))</f>
        <v/>
      </c>
    </row>
    <row r="42" spans="1:54" ht="21.75" customHeight="1" x14ac:dyDescent="0.2">
      <c r="A42" s="23"/>
      <c r="B42" s="23"/>
      <c r="C42" s="23"/>
      <c r="D42" s="23"/>
      <c r="E42" s="23"/>
      <c r="F42" s="23"/>
      <c r="G42" s="23"/>
      <c r="H42" s="23"/>
      <c r="I42" t="str">
        <f>IF(A42="","",IF(AND(Parametry!$B$39="ANO",B42&lt;&gt;""),COUNTIFS(Historie!$A$2:$A$2000,A42,Historie!$B$2:$B$2000,B42,Historie!$E$2:$E$2000,"&lt;&gt;"),COUNTIFS(Historie!$A$2:$A$2000,A42,Historie!$E$2:$E$2000,"&lt;&gt;")))</f>
        <v/>
      </c>
      <c r="J42" s="14" t="str">
        <f>IF(I42=0,"",IFERROR(IF(AND(Parametry!$B$39="ANO",B42&lt;&gt;""),AVERAGEIFS(Historie!$F$2:$F$2000,Historie!$A$2:$A$2000,A42,Historie!$B$2:$B$2000,B42,Historie!$E$2:$E$2000,"&lt;&gt;"),AVERAGEIFS(Historie!$F$2:$F$2000,Historie!$A$2:$A$2000,A42,Historie!$E$2:$E$2000,"&lt;&gt;")),""))</f>
        <v/>
      </c>
      <c r="K42" s="25">
        <f>IF(I42=0,"",IFERROR(IF(AND(Parametry!$B$39="ANO",B42&lt;&gt;""),COUNTIFS(Historie!$A$2:$A$2000,A42,Historie!$B$2:$B$2000,B42,Historie!$E$2:$E$2000,"&lt;&gt;",Historie!$F$2:$F$2000,"&gt;0")/I42,COUNTIFS(Historie!$A$2:$A$2000,A42,Historie!$E$2:$E$2000,"&lt;&gt;",Historie!$F$2:$F$2000,"&gt;0")/I42),0))</f>
        <v>0</v>
      </c>
      <c r="L42" t="str">
        <f>IF(OR(A42="",I42=0),"",IFERROR(DATEDIF(IF(AND(Parametry!$B$39="ANO",B42&lt;&gt;""),_xludf.minifs(Historie!$E$2:$E$2000,Historie!$A$2:$A$2000,A42,Historie!$B$2:$B$2000,B42,Historie!$E$2:$E$2000,"&lt;&gt;"),_xludf.minifs(Historie!$E$2:$E$2000,Historie!$A$2:$A$2000,A42,Historie!$E$2:$E$2000,"&lt;&gt;")),IF(AND(Parametry!$B$39="ANO",B42&lt;&gt;""),_xludf.maxifs(Historie!$E$2:$E$2000,Historie!$A$2:$A$2000,A42,Historie!$B$2:$B$2000,B42,Historie!$E$2:$E$2000,"&lt;&gt;"),_xludf.maxifs(Historie!$E$2:$E$2000,Historie!$A$2:$A$2000,A42,Historie!$E$2:$E$2000,"&lt;&gt;")),"M"),0))</f>
        <v/>
      </c>
      <c r="M42" s="1" t="str">
        <f>IF(A42="","",IFERROR(IF(AND(Parametry!$B$39="ANO",B42&lt;&gt;""),AVERAGEIFS(Historie!$C$2:$C$2000,Historie!$A$2:$A$2000,A42,Historie!$B$2:$B$2000,B42,Historie!$E$2:$E$2000,"&lt;&gt;"),AVERAGEIFS(Historie!$C$2:$C$2000,Historie!$A$2:$A$2000,A42,Historie!$E$2:$E$2000,"&lt;&gt;")),""))</f>
        <v/>
      </c>
      <c r="N42" t="str">
        <f t="shared" ca="1" si="0"/>
        <v/>
      </c>
      <c r="O42" t="str">
        <f t="shared" si="1"/>
        <v/>
      </c>
      <c r="P42" t="str">
        <f t="shared" si="2"/>
        <v/>
      </c>
      <c r="Q42" s="26" t="str">
        <f t="shared" si="3"/>
        <v/>
      </c>
      <c r="R42" t="str">
        <f>IF(OR(A42="",E42=""),"",IF(I42&gt;=Parametry!$B$4,Parametry!$B$9,0))</f>
        <v/>
      </c>
      <c r="S42" t="str">
        <f>IF(OR(A42="",E42=""),"",IF(I42&gt;0,IF(J42&lt;=Parametry!$B$5,Parametry!$B$10,0),0))</f>
        <v/>
      </c>
      <c r="T42" t="str">
        <f>IF(OR(A42="",E42=""),"",IF(I42&gt;0,IF(K42&lt;=Parametry!$B$6,Parametry!$B$11,0),0))</f>
        <v/>
      </c>
      <c r="U42" t="str">
        <f>IF(OR(A42="",E42=""),"",IF(L42&gt;=Parametry!$B$7,Parametry!$B$12,0))</f>
        <v/>
      </c>
      <c r="V42" t="str">
        <f>IF(OR(A42="",E42=""),"",IF(M42&gt;0,IF(Q42&lt;=Parametry!$B$8,Parametry!$B$13,0),0))</f>
        <v/>
      </c>
      <c r="W42" t="str">
        <f>IF(OR(A42="",E42=""),"",IF(P42="ANO",Parametry!$B$14,0))</f>
        <v/>
      </c>
      <c r="X42" t="str">
        <f>IF(OR(A42="",E42=""),"",IF(G42="ANO",Parametry!$B$15,0))</f>
        <v/>
      </c>
      <c r="Y42" t="str">
        <f>IF(OR(A42="",E42=""),"",IF(H42="ANO",Parametry!$B$16,0))</f>
        <v/>
      </c>
      <c r="Z42" t="str">
        <f t="shared" si="4"/>
        <v/>
      </c>
      <c r="AA42" t="str">
        <f>IF(Z42="","",IF(AW42="STOP","Stop",IF(AW42="MANUAL",IF(Z42&gt;=Parametry!$B$19,"Watchlist","Stop"),IF(Z42&gt;=Parametry!$B$17,"Nízké riziko",IF(Z42&gt;=Parametry!$B$18,"Střední riziko",IF(Z42&gt;=Parametry!$B$19,"Watchlist","Stop"))))))</f>
        <v/>
      </c>
      <c r="AB42" s="17" t="str">
        <f>IF(AA42="","",MIN(IF(AA42="Nízké riziko",Parametry!$B$20,IF(AA42="Střední riziko",Parametry!$B$21,IF(AA42="Watchlist",Parametry!$B$22,Parametry!$B$23))),IFERROR(INDEX(Ciselniky!$H$3:$H$10,MATCH(AT42,Ciselniky!$F$3:$F$10,0)),0)))</f>
        <v/>
      </c>
      <c r="AC42" s="17" t="str">
        <f>IF(AA42="","",IF(AA42="Stop",0,IF(AA42="Nízké riziko",Parametry!$B$24,IF(AA42="Střední riziko",Parametry!$B$25,IF(AA42="Watchlist",Parametry!$B$26,0)))+IFERROR(INDEX(Ciselniky!$I$3:$I$10,MATCH(AT42,Ciselniky!$F$3:$F$10,0)),0)))</f>
        <v/>
      </c>
      <c r="AD42" t="str">
        <f t="shared" si="5"/>
        <v/>
      </c>
      <c r="AE42">
        <f t="shared" si="6"/>
        <v>0</v>
      </c>
      <c r="AF42">
        <f t="shared" si="7"/>
        <v>0</v>
      </c>
      <c r="AG42">
        <f>Parametry!$B$28</f>
        <v>5800000</v>
      </c>
      <c r="AH42" s="17" t="str">
        <f t="shared" si="8"/>
        <v/>
      </c>
      <c r="AI42" s="17">
        <f>IFERROR(AF42/Parametry!$B$28,"")</f>
        <v>0</v>
      </c>
      <c r="AJ42" s="17">
        <f>IFERROR(AE42/Parametry!$B$28,"")</f>
        <v>0</v>
      </c>
      <c r="AK42" t="str">
        <f>IF(OR(A42="",E42=""),"",MAX(0,100-IF(Parametry!$B$27="early",0.5,IF(Parametry!$B$27="growth",0.75,1))*(IF(AI42&lt;=Parametry!$B$34,0,IF(AI42&lt;=Parametry!$B$34+0.05,8,20))+IF(AH42&lt;=Parametry!$B$35,0,12)+IF(AJ42&lt;=Parametry!$B$36,0,12))))</f>
        <v/>
      </c>
      <c r="AL42" t="str">
        <f>IF(OR(A42="",E42=""),"",IF(Parametry!$B$27="early",IF(OR(AI42&gt;Parametry!$B$34*1.2,AH42&gt;Parametry!$B$35*1.3),"EARLY STAGE EXCEPTION","OK"),IF(Parametry!$B$27="growth",IF(OR(AI42&gt;Parametry!$B$34*1.35,AH42&gt;Parametry!$B$35*1.4),"RED FLAG","OK"),IF(OR(AI42&gt;Parametry!$B$34*1.2,AH42&gt;Parametry!$B$35*1.3),"RED FLAG","OK"))))</f>
        <v/>
      </c>
      <c r="AM42" t="str">
        <f>IF(OR(A42="",E42=""),"",IF(COUNTIF($A$6:A42,A42)=1,AF42,""))</f>
        <v/>
      </c>
      <c r="AN42" t="str">
        <f t="shared" si="9"/>
        <v/>
      </c>
      <c r="AO42" t="str">
        <f t="shared" si="10"/>
        <v/>
      </c>
      <c r="AP42" t="str">
        <f t="shared" si="11"/>
        <v/>
      </c>
      <c r="AQ42" s="14" t="str">
        <f t="shared" si="12"/>
        <v/>
      </c>
      <c r="AR42" t="str">
        <f t="shared" si="13"/>
        <v/>
      </c>
      <c r="AS42" t="str">
        <f t="shared" si="14"/>
        <v/>
      </c>
      <c r="AT42" s="23" t="str">
        <f>IF(A42="","",IF(COUNTIF(Ciselniky!$L$3:$L$200,A42)=0,"NR",IF(INDEX(Ciselniky!$M$3:$M$200,MATCH(A42,Ciselniky!$L$3:$L$200,0))="","NR",INDEX(Ciselniky!$M$3:$M$200,MATCH(A42,Ciselniky!$L$3:$L$200,0)))))</f>
        <v/>
      </c>
      <c r="AU42" t="str">
        <f>IF(A42="","",IF(AT42="NR","doplňit rating v Ciselniky",IFERROR(IF(INDEX(Ciselniky!$N$3:$N$200,MATCH(A42,Ciselniky!$L$3:$L$200,0))="","anchor master",INDEX(Ciselniky!$N$3:$N$200,MATCH(A42,Ciselniky!$L$3:$L$200,0))),"anchor master")))</f>
        <v/>
      </c>
      <c r="AV42" s="14" t="str">
        <f>IF(AT42="","",IFERROR(INDEX(Ciselniky!$G$3:$G$10,MATCH(AT42,Ciselniky!$F$3:$F$10,0)),0))</f>
        <v/>
      </c>
      <c r="AW42" t="str">
        <f>IF(AT42="","",IFERROR(INDEX(Ciselniky!$J$3:$J$10,MATCH(AT42,Ciselniky!$F$3:$F$10,0)),"MANUAL"))</f>
        <v/>
      </c>
      <c r="AX42" s="14" t="str">
        <f t="shared" si="15"/>
        <v/>
      </c>
      <c r="AY42" s="27" t="str">
        <f>IF(OR(A42="",E42=""),"",AV42*Parametry!$B$41)</f>
        <v/>
      </c>
      <c r="AZ42" s="27" t="str">
        <f>IF(OR(A42="",E42=""),"",AX42*Parametry!$B$42)</f>
        <v/>
      </c>
      <c r="BA42" s="27" t="str">
        <f>IF(OR(A42="",E42=""),"",AK42*Parametry!$B$43)</f>
        <v/>
      </c>
      <c r="BB42" s="14" t="str">
        <f>IF(OR(A42="",E42=""),"",IF(AW42="STOP",-100,IF(AT42="BB",Parametry!$B$47,IF(AT42="NR",Parametry!$B$48,0))))</f>
        <v/>
      </c>
    </row>
    <row r="43" spans="1:54" ht="21.75" customHeight="1" x14ac:dyDescent="0.2">
      <c r="A43" s="23"/>
      <c r="B43" s="23"/>
      <c r="C43" s="23"/>
      <c r="D43" s="23"/>
      <c r="E43" s="23"/>
      <c r="F43" s="23"/>
      <c r="G43" s="23"/>
      <c r="H43" s="23"/>
      <c r="I43" t="str">
        <f>IF(A43="","",IF(AND(Parametry!$B$39="ANO",B43&lt;&gt;""),COUNTIFS(Historie!$A$2:$A$2000,A43,Historie!$B$2:$B$2000,B43,Historie!$E$2:$E$2000,"&lt;&gt;"),COUNTIFS(Historie!$A$2:$A$2000,A43,Historie!$E$2:$E$2000,"&lt;&gt;")))</f>
        <v/>
      </c>
      <c r="J43" s="14" t="str">
        <f>IF(I43=0,"",IFERROR(IF(AND(Parametry!$B$39="ANO",B43&lt;&gt;""),AVERAGEIFS(Historie!$F$2:$F$2000,Historie!$A$2:$A$2000,A43,Historie!$B$2:$B$2000,B43,Historie!$E$2:$E$2000,"&lt;&gt;"),AVERAGEIFS(Historie!$F$2:$F$2000,Historie!$A$2:$A$2000,A43,Historie!$E$2:$E$2000,"&lt;&gt;")),""))</f>
        <v/>
      </c>
      <c r="K43" s="25">
        <f>IF(I43=0,"",IFERROR(IF(AND(Parametry!$B$39="ANO",B43&lt;&gt;""),COUNTIFS(Historie!$A$2:$A$2000,A43,Historie!$B$2:$B$2000,B43,Historie!$E$2:$E$2000,"&lt;&gt;",Historie!$F$2:$F$2000,"&gt;0")/I43,COUNTIFS(Historie!$A$2:$A$2000,A43,Historie!$E$2:$E$2000,"&lt;&gt;",Historie!$F$2:$F$2000,"&gt;0")/I43),0))</f>
        <v>0</v>
      </c>
      <c r="L43" t="str">
        <f>IF(OR(A43="",I43=0),"",IFERROR(DATEDIF(IF(AND(Parametry!$B$39="ANO",B43&lt;&gt;""),_xludf.minifs(Historie!$E$2:$E$2000,Historie!$A$2:$A$2000,A43,Historie!$B$2:$B$2000,B43,Historie!$E$2:$E$2000,"&lt;&gt;"),_xludf.minifs(Historie!$E$2:$E$2000,Historie!$A$2:$A$2000,A43,Historie!$E$2:$E$2000,"&lt;&gt;")),IF(AND(Parametry!$B$39="ANO",B43&lt;&gt;""),_xludf.maxifs(Historie!$E$2:$E$2000,Historie!$A$2:$A$2000,A43,Historie!$B$2:$B$2000,B43,Historie!$E$2:$E$2000,"&lt;&gt;"),_xludf.maxifs(Historie!$E$2:$E$2000,Historie!$A$2:$A$2000,A43,Historie!$E$2:$E$2000,"&lt;&gt;")),"M"),0))</f>
        <v/>
      </c>
      <c r="M43" s="1" t="str">
        <f>IF(A43="","",IFERROR(IF(AND(Parametry!$B$39="ANO",B43&lt;&gt;""),AVERAGEIFS(Historie!$C$2:$C$2000,Historie!$A$2:$A$2000,A43,Historie!$B$2:$B$2000,B43,Historie!$E$2:$E$2000,"&lt;&gt;"),AVERAGEIFS(Historie!$C$2:$C$2000,Historie!$A$2:$A$2000,A43,Historie!$E$2:$E$2000,"&lt;&gt;")),""))</f>
        <v/>
      </c>
      <c r="N43" t="str">
        <f t="shared" ca="1" si="0"/>
        <v/>
      </c>
      <c r="O43" t="str">
        <f t="shared" si="1"/>
        <v/>
      </c>
      <c r="P43" t="str">
        <f t="shared" si="2"/>
        <v/>
      </c>
      <c r="Q43" s="26" t="str">
        <f t="shared" si="3"/>
        <v/>
      </c>
      <c r="R43" t="str">
        <f>IF(OR(A43="",E43=""),"",IF(I43&gt;=Parametry!$B$4,Parametry!$B$9,0))</f>
        <v/>
      </c>
      <c r="S43" t="str">
        <f>IF(OR(A43="",E43=""),"",IF(I43&gt;0,IF(J43&lt;=Parametry!$B$5,Parametry!$B$10,0),0))</f>
        <v/>
      </c>
      <c r="T43" t="str">
        <f>IF(OR(A43="",E43=""),"",IF(I43&gt;0,IF(K43&lt;=Parametry!$B$6,Parametry!$B$11,0),0))</f>
        <v/>
      </c>
      <c r="U43" t="str">
        <f>IF(OR(A43="",E43=""),"",IF(L43&gt;=Parametry!$B$7,Parametry!$B$12,0))</f>
        <v/>
      </c>
      <c r="V43" t="str">
        <f>IF(OR(A43="",E43=""),"",IF(M43&gt;0,IF(Q43&lt;=Parametry!$B$8,Parametry!$B$13,0),0))</f>
        <v/>
      </c>
      <c r="W43" t="str">
        <f>IF(OR(A43="",E43=""),"",IF(P43="ANO",Parametry!$B$14,0))</f>
        <v/>
      </c>
      <c r="X43" t="str">
        <f>IF(OR(A43="",E43=""),"",IF(G43="ANO",Parametry!$B$15,0))</f>
        <v/>
      </c>
      <c r="Y43" t="str">
        <f>IF(OR(A43="",E43=""),"",IF(H43="ANO",Parametry!$B$16,0))</f>
        <v/>
      </c>
      <c r="Z43" t="str">
        <f t="shared" si="4"/>
        <v/>
      </c>
      <c r="AA43" t="str">
        <f>IF(Z43="","",IF(AW43="STOP","Stop",IF(AW43="MANUAL",IF(Z43&gt;=Parametry!$B$19,"Watchlist","Stop"),IF(Z43&gt;=Parametry!$B$17,"Nízké riziko",IF(Z43&gt;=Parametry!$B$18,"Střední riziko",IF(Z43&gt;=Parametry!$B$19,"Watchlist","Stop"))))))</f>
        <v/>
      </c>
      <c r="AB43" s="17" t="str">
        <f>IF(AA43="","",MIN(IF(AA43="Nízké riziko",Parametry!$B$20,IF(AA43="Střední riziko",Parametry!$B$21,IF(AA43="Watchlist",Parametry!$B$22,Parametry!$B$23))),IFERROR(INDEX(Ciselniky!$H$3:$H$10,MATCH(AT43,Ciselniky!$F$3:$F$10,0)),0)))</f>
        <v/>
      </c>
      <c r="AC43" s="17" t="str">
        <f>IF(AA43="","",IF(AA43="Stop",0,IF(AA43="Nízké riziko",Parametry!$B$24,IF(AA43="Střední riziko",Parametry!$B$25,IF(AA43="Watchlist",Parametry!$B$26,0)))+IFERROR(INDEX(Ciselniky!$I$3:$I$10,MATCH(AT43,Ciselniky!$F$3:$F$10,0)),0)))</f>
        <v/>
      </c>
      <c r="AD43" t="str">
        <f t="shared" si="5"/>
        <v/>
      </c>
      <c r="AE43">
        <f t="shared" si="6"/>
        <v>0</v>
      </c>
      <c r="AF43">
        <f t="shared" si="7"/>
        <v>0</v>
      </c>
      <c r="AG43">
        <f>Parametry!$B$28</f>
        <v>5800000</v>
      </c>
      <c r="AH43" s="17" t="str">
        <f t="shared" si="8"/>
        <v/>
      </c>
      <c r="AI43" s="17">
        <f>IFERROR(AF43/Parametry!$B$28,"")</f>
        <v>0</v>
      </c>
      <c r="AJ43" s="17">
        <f>IFERROR(AE43/Parametry!$B$28,"")</f>
        <v>0</v>
      </c>
      <c r="AK43" t="str">
        <f>IF(OR(A43="",E43=""),"",MAX(0,100-IF(Parametry!$B$27="early",0.5,IF(Parametry!$B$27="growth",0.75,1))*(IF(AI43&lt;=Parametry!$B$34,0,IF(AI43&lt;=Parametry!$B$34+0.05,8,20))+IF(AH43&lt;=Parametry!$B$35,0,12)+IF(AJ43&lt;=Parametry!$B$36,0,12))))</f>
        <v/>
      </c>
      <c r="AL43" t="str">
        <f>IF(OR(A43="",E43=""),"",IF(Parametry!$B$27="early",IF(OR(AI43&gt;Parametry!$B$34*1.2,AH43&gt;Parametry!$B$35*1.3),"EARLY STAGE EXCEPTION","OK"),IF(Parametry!$B$27="growth",IF(OR(AI43&gt;Parametry!$B$34*1.35,AH43&gt;Parametry!$B$35*1.4),"RED FLAG","OK"),IF(OR(AI43&gt;Parametry!$B$34*1.2,AH43&gt;Parametry!$B$35*1.3),"RED FLAG","OK"))))</f>
        <v/>
      </c>
      <c r="AM43" t="str">
        <f>IF(OR(A43="",E43=""),"",IF(COUNTIF($A$6:A43,A43)=1,AF43,""))</f>
        <v/>
      </c>
      <c r="AN43" t="str">
        <f t="shared" si="9"/>
        <v/>
      </c>
      <c r="AO43" t="str">
        <f t="shared" si="10"/>
        <v/>
      </c>
      <c r="AP43" t="str">
        <f t="shared" si="11"/>
        <v/>
      </c>
      <c r="AQ43" s="14" t="str">
        <f t="shared" si="12"/>
        <v/>
      </c>
      <c r="AR43" t="str">
        <f t="shared" si="13"/>
        <v/>
      </c>
      <c r="AS43" t="str">
        <f t="shared" si="14"/>
        <v/>
      </c>
      <c r="AT43" s="23" t="str">
        <f>IF(A43="","",IF(COUNTIF(Ciselniky!$L$3:$L$200,A43)=0,"NR",IF(INDEX(Ciselniky!$M$3:$M$200,MATCH(A43,Ciselniky!$L$3:$L$200,0))="","NR",INDEX(Ciselniky!$M$3:$M$200,MATCH(A43,Ciselniky!$L$3:$L$200,0)))))</f>
        <v/>
      </c>
      <c r="AU43" t="str">
        <f>IF(A43="","",IF(AT43="NR","doplňit rating v Ciselniky",IFERROR(IF(INDEX(Ciselniky!$N$3:$N$200,MATCH(A43,Ciselniky!$L$3:$L$200,0))="","anchor master",INDEX(Ciselniky!$N$3:$N$200,MATCH(A43,Ciselniky!$L$3:$L$200,0))),"anchor master")))</f>
        <v/>
      </c>
      <c r="AV43" s="14" t="str">
        <f>IF(AT43="","",IFERROR(INDEX(Ciselniky!$G$3:$G$10,MATCH(AT43,Ciselniky!$F$3:$F$10,0)),0))</f>
        <v/>
      </c>
      <c r="AW43" t="str">
        <f>IF(AT43="","",IFERROR(INDEX(Ciselniky!$J$3:$J$10,MATCH(AT43,Ciselniky!$F$3:$F$10,0)),"MANUAL"))</f>
        <v/>
      </c>
      <c r="AX43" s="14" t="str">
        <f t="shared" si="15"/>
        <v/>
      </c>
      <c r="AY43" s="27" t="str">
        <f>IF(OR(A43="",E43=""),"",AV43*Parametry!$B$41)</f>
        <v/>
      </c>
      <c r="AZ43" s="27" t="str">
        <f>IF(OR(A43="",E43=""),"",AX43*Parametry!$B$42)</f>
        <v/>
      </c>
      <c r="BA43" s="27" t="str">
        <f>IF(OR(A43="",E43=""),"",AK43*Parametry!$B$43)</f>
        <v/>
      </c>
      <c r="BB43" s="14" t="str">
        <f>IF(OR(A43="",E43=""),"",IF(AW43="STOP",-100,IF(AT43="BB",Parametry!$B$47,IF(AT43="NR",Parametry!$B$48,0))))</f>
        <v/>
      </c>
    </row>
    <row r="44" spans="1:54" ht="21.75" customHeight="1" x14ac:dyDescent="0.2">
      <c r="A44" s="23"/>
      <c r="B44" s="23"/>
      <c r="C44" s="23"/>
      <c r="D44" s="23"/>
      <c r="E44" s="23"/>
      <c r="F44" s="23"/>
      <c r="G44" s="23"/>
      <c r="H44" s="23"/>
      <c r="I44" t="str">
        <f>IF(A44="","",IF(AND(Parametry!$B$39="ANO",B44&lt;&gt;""),COUNTIFS(Historie!$A$2:$A$2000,A44,Historie!$B$2:$B$2000,B44,Historie!$E$2:$E$2000,"&lt;&gt;"),COUNTIFS(Historie!$A$2:$A$2000,A44,Historie!$E$2:$E$2000,"&lt;&gt;")))</f>
        <v/>
      </c>
      <c r="J44" s="14" t="str">
        <f>IF(I44=0,"",IFERROR(IF(AND(Parametry!$B$39="ANO",B44&lt;&gt;""),AVERAGEIFS(Historie!$F$2:$F$2000,Historie!$A$2:$A$2000,A44,Historie!$B$2:$B$2000,B44,Historie!$E$2:$E$2000,"&lt;&gt;"),AVERAGEIFS(Historie!$F$2:$F$2000,Historie!$A$2:$A$2000,A44,Historie!$E$2:$E$2000,"&lt;&gt;")),""))</f>
        <v/>
      </c>
      <c r="K44" s="25">
        <f>IF(I44=0,"",IFERROR(IF(AND(Parametry!$B$39="ANO",B44&lt;&gt;""),COUNTIFS(Historie!$A$2:$A$2000,A44,Historie!$B$2:$B$2000,B44,Historie!$E$2:$E$2000,"&lt;&gt;",Historie!$F$2:$F$2000,"&gt;0")/I44,COUNTIFS(Historie!$A$2:$A$2000,A44,Historie!$E$2:$E$2000,"&lt;&gt;",Historie!$F$2:$F$2000,"&gt;0")/I44),0))</f>
        <v>0</v>
      </c>
      <c r="L44" t="str">
        <f>IF(OR(A44="",I44=0),"",IFERROR(DATEDIF(IF(AND(Parametry!$B$39="ANO",B44&lt;&gt;""),_xludf.minifs(Historie!$E$2:$E$2000,Historie!$A$2:$A$2000,A44,Historie!$B$2:$B$2000,B44,Historie!$E$2:$E$2000,"&lt;&gt;"),_xludf.minifs(Historie!$E$2:$E$2000,Historie!$A$2:$A$2000,A44,Historie!$E$2:$E$2000,"&lt;&gt;")),IF(AND(Parametry!$B$39="ANO",B44&lt;&gt;""),_xludf.maxifs(Historie!$E$2:$E$2000,Historie!$A$2:$A$2000,A44,Historie!$B$2:$B$2000,B44,Historie!$E$2:$E$2000,"&lt;&gt;"),_xludf.maxifs(Historie!$E$2:$E$2000,Historie!$A$2:$A$2000,A44,Historie!$E$2:$E$2000,"&lt;&gt;")),"M"),0))</f>
        <v/>
      </c>
      <c r="M44" s="1" t="str">
        <f>IF(A44="","",IFERROR(IF(AND(Parametry!$B$39="ANO",B44&lt;&gt;""),AVERAGEIFS(Historie!$C$2:$C$2000,Historie!$A$2:$A$2000,A44,Historie!$B$2:$B$2000,B44,Historie!$E$2:$E$2000,"&lt;&gt;"),AVERAGEIFS(Historie!$C$2:$C$2000,Historie!$A$2:$A$2000,A44,Historie!$E$2:$E$2000,"&lt;&gt;")),""))</f>
        <v/>
      </c>
      <c r="N44" t="str">
        <f t="shared" ca="1" si="0"/>
        <v/>
      </c>
      <c r="O44" t="str">
        <f t="shared" si="1"/>
        <v/>
      </c>
      <c r="P44" t="str">
        <f t="shared" si="2"/>
        <v/>
      </c>
      <c r="Q44" s="26" t="str">
        <f t="shared" si="3"/>
        <v/>
      </c>
      <c r="R44" t="str">
        <f>IF(OR(A44="",E44=""),"",IF(I44&gt;=Parametry!$B$4,Parametry!$B$9,0))</f>
        <v/>
      </c>
      <c r="S44" t="str">
        <f>IF(OR(A44="",E44=""),"",IF(I44&gt;0,IF(J44&lt;=Parametry!$B$5,Parametry!$B$10,0),0))</f>
        <v/>
      </c>
      <c r="T44" t="str">
        <f>IF(OR(A44="",E44=""),"",IF(I44&gt;0,IF(K44&lt;=Parametry!$B$6,Parametry!$B$11,0),0))</f>
        <v/>
      </c>
      <c r="U44" t="str">
        <f>IF(OR(A44="",E44=""),"",IF(L44&gt;=Parametry!$B$7,Parametry!$B$12,0))</f>
        <v/>
      </c>
      <c r="V44" t="str">
        <f>IF(OR(A44="",E44=""),"",IF(M44&gt;0,IF(Q44&lt;=Parametry!$B$8,Parametry!$B$13,0),0))</f>
        <v/>
      </c>
      <c r="W44" t="str">
        <f>IF(OR(A44="",E44=""),"",IF(P44="ANO",Parametry!$B$14,0))</f>
        <v/>
      </c>
      <c r="X44" t="str">
        <f>IF(OR(A44="",E44=""),"",IF(G44="ANO",Parametry!$B$15,0))</f>
        <v/>
      </c>
      <c r="Y44" t="str">
        <f>IF(OR(A44="",E44=""),"",IF(H44="ANO",Parametry!$B$16,0))</f>
        <v/>
      </c>
      <c r="Z44" t="str">
        <f t="shared" si="4"/>
        <v/>
      </c>
      <c r="AA44" t="str">
        <f>IF(Z44="","",IF(AW44="STOP","Stop",IF(AW44="MANUAL",IF(Z44&gt;=Parametry!$B$19,"Watchlist","Stop"),IF(Z44&gt;=Parametry!$B$17,"Nízké riziko",IF(Z44&gt;=Parametry!$B$18,"Střední riziko",IF(Z44&gt;=Parametry!$B$19,"Watchlist","Stop"))))))</f>
        <v/>
      </c>
      <c r="AB44" s="17" t="str">
        <f>IF(AA44="","",MIN(IF(AA44="Nízké riziko",Parametry!$B$20,IF(AA44="Střední riziko",Parametry!$B$21,IF(AA44="Watchlist",Parametry!$B$22,Parametry!$B$23))),IFERROR(INDEX(Ciselniky!$H$3:$H$10,MATCH(AT44,Ciselniky!$F$3:$F$10,0)),0)))</f>
        <v/>
      </c>
      <c r="AC44" s="17" t="str">
        <f>IF(AA44="","",IF(AA44="Stop",0,IF(AA44="Nízké riziko",Parametry!$B$24,IF(AA44="Střední riziko",Parametry!$B$25,IF(AA44="Watchlist",Parametry!$B$26,0)))+IFERROR(INDEX(Ciselniky!$I$3:$I$10,MATCH(AT44,Ciselniky!$F$3:$F$10,0)),0)))</f>
        <v/>
      </c>
      <c r="AD44" t="str">
        <f t="shared" si="5"/>
        <v/>
      </c>
      <c r="AE44">
        <f t="shared" si="6"/>
        <v>0</v>
      </c>
      <c r="AF44">
        <f t="shared" si="7"/>
        <v>0</v>
      </c>
      <c r="AG44">
        <f>Parametry!$B$28</f>
        <v>5800000</v>
      </c>
      <c r="AH44" s="17" t="str">
        <f t="shared" si="8"/>
        <v/>
      </c>
      <c r="AI44" s="17">
        <f>IFERROR(AF44/Parametry!$B$28,"")</f>
        <v>0</v>
      </c>
      <c r="AJ44" s="17">
        <f>IFERROR(AE44/Parametry!$B$28,"")</f>
        <v>0</v>
      </c>
      <c r="AK44" t="str">
        <f>IF(OR(A44="",E44=""),"",MAX(0,100-IF(Parametry!$B$27="early",0.5,IF(Parametry!$B$27="growth",0.75,1))*(IF(AI44&lt;=Parametry!$B$34,0,IF(AI44&lt;=Parametry!$B$34+0.05,8,20))+IF(AH44&lt;=Parametry!$B$35,0,12)+IF(AJ44&lt;=Parametry!$B$36,0,12))))</f>
        <v/>
      </c>
      <c r="AL44" t="str">
        <f>IF(OR(A44="",E44=""),"",IF(Parametry!$B$27="early",IF(OR(AI44&gt;Parametry!$B$34*1.2,AH44&gt;Parametry!$B$35*1.3),"EARLY STAGE EXCEPTION","OK"),IF(Parametry!$B$27="growth",IF(OR(AI44&gt;Parametry!$B$34*1.35,AH44&gt;Parametry!$B$35*1.4),"RED FLAG","OK"),IF(OR(AI44&gt;Parametry!$B$34*1.2,AH44&gt;Parametry!$B$35*1.3),"RED FLAG","OK"))))</f>
        <v/>
      </c>
      <c r="AM44" t="str">
        <f>IF(OR(A44="",E44=""),"",IF(COUNTIF($A$6:A44,A44)=1,AF44,""))</f>
        <v/>
      </c>
      <c r="AN44" t="str">
        <f t="shared" si="9"/>
        <v/>
      </c>
      <c r="AO44" t="str">
        <f t="shared" si="10"/>
        <v/>
      </c>
      <c r="AP44" t="str">
        <f t="shared" si="11"/>
        <v/>
      </c>
      <c r="AQ44" s="14" t="str">
        <f t="shared" si="12"/>
        <v/>
      </c>
      <c r="AR44" t="str">
        <f t="shared" si="13"/>
        <v/>
      </c>
      <c r="AS44" t="str">
        <f t="shared" si="14"/>
        <v/>
      </c>
      <c r="AT44" s="23" t="str">
        <f>IF(A44="","",IF(COUNTIF(Ciselniky!$L$3:$L$200,A44)=0,"NR",IF(INDEX(Ciselniky!$M$3:$M$200,MATCH(A44,Ciselniky!$L$3:$L$200,0))="","NR",INDEX(Ciselniky!$M$3:$M$200,MATCH(A44,Ciselniky!$L$3:$L$200,0)))))</f>
        <v/>
      </c>
      <c r="AU44" t="str">
        <f>IF(A44="","",IF(AT44="NR","doplňit rating v Ciselniky",IFERROR(IF(INDEX(Ciselniky!$N$3:$N$200,MATCH(A44,Ciselniky!$L$3:$L$200,0))="","anchor master",INDEX(Ciselniky!$N$3:$N$200,MATCH(A44,Ciselniky!$L$3:$L$200,0))),"anchor master")))</f>
        <v/>
      </c>
      <c r="AV44" s="14" t="str">
        <f>IF(AT44="","",IFERROR(INDEX(Ciselniky!$G$3:$G$10,MATCH(AT44,Ciselniky!$F$3:$F$10,0)),0))</f>
        <v/>
      </c>
      <c r="AW44" t="str">
        <f>IF(AT44="","",IFERROR(INDEX(Ciselniky!$J$3:$J$10,MATCH(AT44,Ciselniky!$F$3:$F$10,0)),"MANUAL"))</f>
        <v/>
      </c>
      <c r="AX44" s="14" t="str">
        <f t="shared" si="15"/>
        <v/>
      </c>
      <c r="AY44" s="27" t="str">
        <f>IF(OR(A44="",E44=""),"",AV44*Parametry!$B$41)</f>
        <v/>
      </c>
      <c r="AZ44" s="27" t="str">
        <f>IF(OR(A44="",E44=""),"",AX44*Parametry!$B$42)</f>
        <v/>
      </c>
      <c r="BA44" s="27" t="str">
        <f>IF(OR(A44="",E44=""),"",AK44*Parametry!$B$43)</f>
        <v/>
      </c>
      <c r="BB44" s="14" t="str">
        <f>IF(OR(A44="",E44=""),"",IF(AW44="STOP",-100,IF(AT44="BB",Parametry!$B$47,IF(AT44="NR",Parametry!$B$48,0))))</f>
        <v/>
      </c>
    </row>
    <row r="45" spans="1:54" ht="21.75" customHeight="1" x14ac:dyDescent="0.2">
      <c r="A45" s="23"/>
      <c r="B45" s="23"/>
      <c r="C45" s="23"/>
      <c r="D45" s="23"/>
      <c r="E45" s="23"/>
      <c r="F45" s="23"/>
      <c r="G45" s="23"/>
      <c r="H45" s="23"/>
      <c r="I45" t="str">
        <f>IF(A45="","",IF(AND(Parametry!$B$39="ANO",B45&lt;&gt;""),COUNTIFS(Historie!$A$2:$A$2000,A45,Historie!$B$2:$B$2000,B45,Historie!$E$2:$E$2000,"&lt;&gt;"),COUNTIFS(Historie!$A$2:$A$2000,A45,Historie!$E$2:$E$2000,"&lt;&gt;")))</f>
        <v/>
      </c>
      <c r="J45" s="14" t="str">
        <f>IF(I45=0,"",IFERROR(IF(AND(Parametry!$B$39="ANO",B45&lt;&gt;""),AVERAGEIFS(Historie!$F$2:$F$2000,Historie!$A$2:$A$2000,A45,Historie!$B$2:$B$2000,B45,Historie!$E$2:$E$2000,"&lt;&gt;"),AVERAGEIFS(Historie!$F$2:$F$2000,Historie!$A$2:$A$2000,A45,Historie!$E$2:$E$2000,"&lt;&gt;")),""))</f>
        <v/>
      </c>
      <c r="K45" s="25">
        <f>IF(I45=0,"",IFERROR(IF(AND(Parametry!$B$39="ANO",B45&lt;&gt;""),COUNTIFS(Historie!$A$2:$A$2000,A45,Historie!$B$2:$B$2000,B45,Historie!$E$2:$E$2000,"&lt;&gt;",Historie!$F$2:$F$2000,"&gt;0")/I45,COUNTIFS(Historie!$A$2:$A$2000,A45,Historie!$E$2:$E$2000,"&lt;&gt;",Historie!$F$2:$F$2000,"&gt;0")/I45),0))</f>
        <v>0</v>
      </c>
      <c r="L45" t="str">
        <f>IF(OR(A45="",I45=0),"",IFERROR(DATEDIF(IF(AND(Parametry!$B$39="ANO",B45&lt;&gt;""),_xludf.minifs(Historie!$E$2:$E$2000,Historie!$A$2:$A$2000,A45,Historie!$B$2:$B$2000,B45,Historie!$E$2:$E$2000,"&lt;&gt;"),_xludf.minifs(Historie!$E$2:$E$2000,Historie!$A$2:$A$2000,A45,Historie!$E$2:$E$2000,"&lt;&gt;")),IF(AND(Parametry!$B$39="ANO",B45&lt;&gt;""),_xludf.maxifs(Historie!$E$2:$E$2000,Historie!$A$2:$A$2000,A45,Historie!$B$2:$B$2000,B45,Historie!$E$2:$E$2000,"&lt;&gt;"),_xludf.maxifs(Historie!$E$2:$E$2000,Historie!$A$2:$A$2000,A45,Historie!$E$2:$E$2000,"&lt;&gt;")),"M"),0))</f>
        <v/>
      </c>
      <c r="M45" s="1" t="str">
        <f>IF(A45="","",IFERROR(IF(AND(Parametry!$B$39="ANO",B45&lt;&gt;""),AVERAGEIFS(Historie!$C$2:$C$2000,Historie!$A$2:$A$2000,A45,Historie!$B$2:$B$2000,B45,Historie!$E$2:$E$2000,"&lt;&gt;"),AVERAGEIFS(Historie!$C$2:$C$2000,Historie!$A$2:$A$2000,A45,Historie!$E$2:$E$2000,"&lt;&gt;")),""))</f>
        <v/>
      </c>
      <c r="N45" t="str">
        <f t="shared" ca="1" si="0"/>
        <v/>
      </c>
      <c r="O45" t="str">
        <f t="shared" si="1"/>
        <v/>
      </c>
      <c r="P45" t="str">
        <f t="shared" si="2"/>
        <v/>
      </c>
      <c r="Q45" s="26" t="str">
        <f t="shared" si="3"/>
        <v/>
      </c>
      <c r="R45" t="str">
        <f>IF(OR(A45="",E45=""),"",IF(I45&gt;=Parametry!$B$4,Parametry!$B$9,0))</f>
        <v/>
      </c>
      <c r="S45" t="str">
        <f>IF(OR(A45="",E45=""),"",IF(I45&gt;0,IF(J45&lt;=Parametry!$B$5,Parametry!$B$10,0),0))</f>
        <v/>
      </c>
      <c r="T45" t="str">
        <f>IF(OR(A45="",E45=""),"",IF(I45&gt;0,IF(K45&lt;=Parametry!$B$6,Parametry!$B$11,0),0))</f>
        <v/>
      </c>
      <c r="U45" t="str">
        <f>IF(OR(A45="",E45=""),"",IF(L45&gt;=Parametry!$B$7,Parametry!$B$12,0))</f>
        <v/>
      </c>
      <c r="V45" t="str">
        <f>IF(OR(A45="",E45=""),"",IF(M45&gt;0,IF(Q45&lt;=Parametry!$B$8,Parametry!$B$13,0),0))</f>
        <v/>
      </c>
      <c r="W45" t="str">
        <f>IF(OR(A45="",E45=""),"",IF(P45="ANO",Parametry!$B$14,0))</f>
        <v/>
      </c>
      <c r="X45" t="str">
        <f>IF(OR(A45="",E45=""),"",IF(G45="ANO",Parametry!$B$15,0))</f>
        <v/>
      </c>
      <c r="Y45" t="str">
        <f>IF(OR(A45="",E45=""),"",IF(H45="ANO",Parametry!$B$16,0))</f>
        <v/>
      </c>
      <c r="Z45" t="str">
        <f t="shared" si="4"/>
        <v/>
      </c>
      <c r="AA45" t="str">
        <f>IF(Z45="","",IF(AW45="STOP","Stop",IF(AW45="MANUAL",IF(Z45&gt;=Parametry!$B$19,"Watchlist","Stop"),IF(Z45&gt;=Parametry!$B$17,"Nízké riziko",IF(Z45&gt;=Parametry!$B$18,"Střední riziko",IF(Z45&gt;=Parametry!$B$19,"Watchlist","Stop"))))))</f>
        <v/>
      </c>
      <c r="AB45" s="17" t="str">
        <f>IF(AA45="","",MIN(IF(AA45="Nízké riziko",Parametry!$B$20,IF(AA45="Střední riziko",Parametry!$B$21,IF(AA45="Watchlist",Parametry!$B$22,Parametry!$B$23))),IFERROR(INDEX(Ciselniky!$H$3:$H$10,MATCH(AT45,Ciselniky!$F$3:$F$10,0)),0)))</f>
        <v/>
      </c>
      <c r="AC45" s="17" t="str">
        <f>IF(AA45="","",IF(AA45="Stop",0,IF(AA45="Nízké riziko",Parametry!$B$24,IF(AA45="Střední riziko",Parametry!$B$25,IF(AA45="Watchlist",Parametry!$B$26,0)))+IFERROR(INDEX(Ciselniky!$I$3:$I$10,MATCH(AT45,Ciselniky!$F$3:$F$10,0)),0)))</f>
        <v/>
      </c>
      <c r="AD45" t="str">
        <f t="shared" si="5"/>
        <v/>
      </c>
      <c r="AE45">
        <f t="shared" si="6"/>
        <v>0</v>
      </c>
      <c r="AF45">
        <f t="shared" si="7"/>
        <v>0</v>
      </c>
      <c r="AG45">
        <f>Parametry!$B$28</f>
        <v>5800000</v>
      </c>
      <c r="AH45" s="17" t="str">
        <f t="shared" si="8"/>
        <v/>
      </c>
      <c r="AI45" s="17">
        <f>IFERROR(AF45/Parametry!$B$28,"")</f>
        <v>0</v>
      </c>
      <c r="AJ45" s="17">
        <f>IFERROR(AE45/Parametry!$B$28,"")</f>
        <v>0</v>
      </c>
      <c r="AK45" t="str">
        <f>IF(OR(A45="",E45=""),"",MAX(0,100-IF(Parametry!$B$27="early",0.5,IF(Parametry!$B$27="growth",0.75,1))*(IF(AI45&lt;=Parametry!$B$34,0,IF(AI45&lt;=Parametry!$B$34+0.05,8,20))+IF(AH45&lt;=Parametry!$B$35,0,12)+IF(AJ45&lt;=Parametry!$B$36,0,12))))</f>
        <v/>
      </c>
      <c r="AL45" t="str">
        <f>IF(OR(A45="",E45=""),"",IF(Parametry!$B$27="early",IF(OR(AI45&gt;Parametry!$B$34*1.2,AH45&gt;Parametry!$B$35*1.3),"EARLY STAGE EXCEPTION","OK"),IF(Parametry!$B$27="growth",IF(OR(AI45&gt;Parametry!$B$34*1.35,AH45&gt;Parametry!$B$35*1.4),"RED FLAG","OK"),IF(OR(AI45&gt;Parametry!$B$34*1.2,AH45&gt;Parametry!$B$35*1.3),"RED FLAG","OK"))))</f>
        <v/>
      </c>
      <c r="AM45" t="str">
        <f>IF(OR(A45="",E45=""),"",IF(COUNTIF($A$6:A45,A45)=1,AF45,""))</f>
        <v/>
      </c>
      <c r="AN45" t="str">
        <f t="shared" si="9"/>
        <v/>
      </c>
      <c r="AO45" t="str">
        <f t="shared" si="10"/>
        <v/>
      </c>
      <c r="AP45" t="str">
        <f t="shared" si="11"/>
        <v/>
      </c>
      <c r="AQ45" s="14" t="str">
        <f t="shared" si="12"/>
        <v/>
      </c>
      <c r="AR45" t="str">
        <f t="shared" si="13"/>
        <v/>
      </c>
      <c r="AS45" t="str">
        <f t="shared" si="14"/>
        <v/>
      </c>
      <c r="AT45" s="23" t="str">
        <f>IF(A45="","",IF(COUNTIF(Ciselniky!$L$3:$L$200,A45)=0,"NR",IF(INDEX(Ciselniky!$M$3:$M$200,MATCH(A45,Ciselniky!$L$3:$L$200,0))="","NR",INDEX(Ciselniky!$M$3:$M$200,MATCH(A45,Ciselniky!$L$3:$L$200,0)))))</f>
        <v/>
      </c>
      <c r="AU45" t="str">
        <f>IF(A45="","",IF(AT45="NR","doplňit rating v Ciselniky",IFERROR(IF(INDEX(Ciselniky!$N$3:$N$200,MATCH(A45,Ciselniky!$L$3:$L$200,0))="","anchor master",INDEX(Ciselniky!$N$3:$N$200,MATCH(A45,Ciselniky!$L$3:$L$200,0))),"anchor master")))</f>
        <v/>
      </c>
      <c r="AV45" s="14" t="str">
        <f>IF(AT45="","",IFERROR(INDEX(Ciselniky!$G$3:$G$10,MATCH(AT45,Ciselniky!$F$3:$F$10,0)),0))</f>
        <v/>
      </c>
      <c r="AW45" t="str">
        <f>IF(AT45="","",IFERROR(INDEX(Ciselniky!$J$3:$J$10,MATCH(AT45,Ciselniky!$F$3:$F$10,0)),"MANUAL"))</f>
        <v/>
      </c>
      <c r="AX45" s="14" t="str">
        <f t="shared" si="15"/>
        <v/>
      </c>
      <c r="AY45" s="27" t="str">
        <f>IF(OR(A45="",E45=""),"",AV45*Parametry!$B$41)</f>
        <v/>
      </c>
      <c r="AZ45" s="27" t="str">
        <f>IF(OR(A45="",E45=""),"",AX45*Parametry!$B$42)</f>
        <v/>
      </c>
      <c r="BA45" s="27" t="str">
        <f>IF(OR(A45="",E45=""),"",AK45*Parametry!$B$43)</f>
        <v/>
      </c>
      <c r="BB45" s="14" t="str">
        <f>IF(OR(A45="",E45=""),"",IF(AW45="STOP",-100,IF(AT45="BB",Parametry!$B$47,IF(AT45="NR",Parametry!$B$48,0))))</f>
        <v/>
      </c>
    </row>
    <row r="46" spans="1:54" x14ac:dyDescent="0.2">
      <c r="J46" s="14"/>
    </row>
    <row r="47" spans="1:54" x14ac:dyDescent="0.2">
      <c r="J47" s="14"/>
    </row>
    <row r="48" spans="1:54" x14ac:dyDescent="0.2">
      <c r="J48" s="14"/>
    </row>
    <row r="49" spans="10:10" x14ac:dyDescent="0.2">
      <c r="J49" s="14"/>
    </row>
    <row r="50" spans="10:10" x14ac:dyDescent="0.2">
      <c r="J50" s="14"/>
    </row>
    <row r="51" spans="10:10" x14ac:dyDescent="0.2">
      <c r="J51" s="14"/>
    </row>
    <row r="52" spans="10:10" x14ac:dyDescent="0.2">
      <c r="J52" s="14"/>
    </row>
    <row r="53" spans="10:10" x14ac:dyDescent="0.2">
      <c r="J53" s="14"/>
    </row>
    <row r="54" spans="10:10" x14ac:dyDescent="0.2">
      <c r="J54" s="14"/>
    </row>
  </sheetData>
  <mergeCells count="13">
    <mergeCell ref="A3:J3"/>
    <mergeCell ref="K3:L3"/>
    <mergeCell ref="M3:U3"/>
    <mergeCell ref="V3:Y3"/>
    <mergeCell ref="AT3:BB3"/>
    <mergeCell ref="A1:BB1"/>
    <mergeCell ref="A2:H2"/>
    <mergeCell ref="I2:M2"/>
    <mergeCell ref="N2:O2"/>
    <mergeCell ref="P2:AD2"/>
    <mergeCell ref="AE2:AL2"/>
    <mergeCell ref="AM2:AP2"/>
    <mergeCell ref="AT2:BB2"/>
  </mergeCells>
  <dataValidations count="1">
    <dataValidation type="list" allowBlank="1" sqref="G6:H45" xr:uid="{00000000-0002-0000-0400-000000000000}">
      <formula1>"ANO,NE"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showGridLines="0" topLeftCell="A22" zoomScaleNormal="100" workbookViewId="0">
      <selection activeCell="C30" sqref="C30"/>
    </sheetView>
  </sheetViews>
  <sheetFormatPr baseColWidth="10" defaultColWidth="8.83203125" defaultRowHeight="15" customHeight="1" x14ac:dyDescent="0.2"/>
  <cols>
    <col min="1" max="1" width="38" customWidth="1"/>
    <col min="2" max="2" width="14" customWidth="1"/>
    <col min="3" max="3" width="52" customWidth="1"/>
    <col min="4" max="4" width="24.1640625" customWidth="1"/>
  </cols>
  <sheetData>
    <row r="1" spans="1:4" ht="15" customHeight="1" x14ac:dyDescent="0.2">
      <c r="A1" s="72" t="s">
        <v>144</v>
      </c>
      <c r="B1" s="72"/>
      <c r="C1" s="72"/>
    </row>
    <row r="2" spans="1:4" x14ac:dyDescent="0.2">
      <c r="A2" s="28"/>
      <c r="B2" s="28"/>
      <c r="C2" s="28"/>
      <c r="D2" s="28"/>
    </row>
    <row r="3" spans="1:4" x14ac:dyDescent="0.2">
      <c r="A3" s="16" t="s">
        <v>145</v>
      </c>
      <c r="B3" s="16" t="s">
        <v>146</v>
      </c>
      <c r="C3" s="16" t="s">
        <v>147</v>
      </c>
      <c r="D3" s="28"/>
    </row>
    <row r="4" spans="1:4" x14ac:dyDescent="0.2">
      <c r="A4" s="29" t="s">
        <v>148</v>
      </c>
      <c r="B4" s="30">
        <v>5</v>
      </c>
      <c r="C4" s="29" t="s">
        <v>149</v>
      </c>
      <c r="D4" s="28"/>
    </row>
    <row r="5" spans="1:4" x14ac:dyDescent="0.2">
      <c r="A5" s="29" t="s">
        <v>150</v>
      </c>
      <c r="B5" s="30">
        <v>10</v>
      </c>
      <c r="C5" s="29" t="s">
        <v>151</v>
      </c>
      <c r="D5" s="28"/>
    </row>
    <row r="6" spans="1:4" x14ac:dyDescent="0.2">
      <c r="A6" s="29" t="s">
        <v>152</v>
      </c>
      <c r="B6" s="31">
        <v>0.2</v>
      </c>
      <c r="C6" s="29" t="s">
        <v>153</v>
      </c>
      <c r="D6" s="28"/>
    </row>
    <row r="7" spans="1:4" x14ac:dyDescent="0.2">
      <c r="A7" s="29" t="s">
        <v>154</v>
      </c>
      <c r="B7" s="30">
        <v>3</v>
      </c>
      <c r="C7" s="29" t="s">
        <v>155</v>
      </c>
      <c r="D7" s="28"/>
    </row>
    <row r="8" spans="1:4" x14ac:dyDescent="0.2">
      <c r="A8" s="29" t="s">
        <v>156</v>
      </c>
      <c r="B8" s="32">
        <v>1.5</v>
      </c>
      <c r="C8" s="29" t="s">
        <v>157</v>
      </c>
      <c r="D8" s="28"/>
    </row>
    <row r="9" spans="1:4" x14ac:dyDescent="0.2">
      <c r="A9" s="33" t="s">
        <v>105</v>
      </c>
      <c r="B9" s="34">
        <v>40</v>
      </c>
      <c r="C9" s="33" t="s">
        <v>96</v>
      </c>
      <c r="D9" s="28"/>
    </row>
    <row r="10" spans="1:4" x14ac:dyDescent="0.2">
      <c r="A10" s="33" t="s">
        <v>158</v>
      </c>
      <c r="B10" s="34">
        <v>20</v>
      </c>
      <c r="C10" s="33" t="s">
        <v>159</v>
      </c>
      <c r="D10" s="28"/>
    </row>
    <row r="11" spans="1:4" x14ac:dyDescent="0.2">
      <c r="A11" s="33" t="s">
        <v>160</v>
      </c>
      <c r="B11" s="34">
        <v>15</v>
      </c>
      <c r="C11" s="33" t="s">
        <v>161</v>
      </c>
      <c r="D11" s="28"/>
    </row>
    <row r="12" spans="1:4" x14ac:dyDescent="0.2">
      <c r="A12" s="33" t="s">
        <v>162</v>
      </c>
      <c r="B12" s="34">
        <v>15</v>
      </c>
      <c r="C12" s="33" t="s">
        <v>163</v>
      </c>
      <c r="D12" s="28"/>
    </row>
    <row r="13" spans="1:4" x14ac:dyDescent="0.2">
      <c r="A13" s="33" t="s">
        <v>164</v>
      </c>
      <c r="B13" s="34">
        <v>10</v>
      </c>
      <c r="C13" s="33" t="s">
        <v>165</v>
      </c>
      <c r="D13" s="28"/>
    </row>
    <row r="14" spans="1:4" x14ac:dyDescent="0.2">
      <c r="A14" s="35" t="s">
        <v>166</v>
      </c>
      <c r="B14" s="36">
        <v>-30</v>
      </c>
      <c r="C14" s="35" t="s">
        <v>167</v>
      </c>
      <c r="D14" s="28"/>
    </row>
    <row r="15" spans="1:4" x14ac:dyDescent="0.2">
      <c r="A15" s="35" t="s">
        <v>168</v>
      </c>
      <c r="B15" s="36">
        <v>-20</v>
      </c>
      <c r="C15" s="35" t="s">
        <v>169</v>
      </c>
      <c r="D15" s="28"/>
    </row>
    <row r="16" spans="1:4" x14ac:dyDescent="0.2">
      <c r="A16" s="35" t="s">
        <v>170</v>
      </c>
      <c r="B16" s="36">
        <v>-25</v>
      </c>
      <c r="C16" s="35" t="s">
        <v>171</v>
      </c>
      <c r="D16" s="28"/>
    </row>
    <row r="17" spans="1:4" x14ac:dyDescent="0.2">
      <c r="A17" s="37" t="s">
        <v>172</v>
      </c>
      <c r="B17" s="38">
        <v>80</v>
      </c>
      <c r="C17" s="37" t="s">
        <v>173</v>
      </c>
      <c r="D17" s="28"/>
    </row>
    <row r="18" spans="1:4" x14ac:dyDescent="0.2">
      <c r="A18" s="37" t="s">
        <v>174</v>
      </c>
      <c r="B18" s="38">
        <v>60</v>
      </c>
      <c r="C18" s="37" t="s">
        <v>175</v>
      </c>
      <c r="D18" s="28"/>
    </row>
    <row r="19" spans="1:4" x14ac:dyDescent="0.2">
      <c r="A19" s="37" t="s">
        <v>176</v>
      </c>
      <c r="B19" s="38">
        <v>40</v>
      </c>
      <c r="C19" s="37" t="s">
        <v>177</v>
      </c>
      <c r="D19" s="28"/>
    </row>
    <row r="20" spans="1:4" x14ac:dyDescent="0.2">
      <c r="A20" s="39" t="s">
        <v>178</v>
      </c>
      <c r="B20" s="40">
        <v>0.8</v>
      </c>
      <c r="C20" s="39" t="s">
        <v>179</v>
      </c>
      <c r="D20" s="28"/>
    </row>
    <row r="21" spans="1:4" x14ac:dyDescent="0.2">
      <c r="A21" s="39" t="s">
        <v>180</v>
      </c>
      <c r="B21" s="40">
        <v>0.75</v>
      </c>
      <c r="C21" s="39" t="s">
        <v>179</v>
      </c>
      <c r="D21" s="28"/>
    </row>
    <row r="22" spans="1:4" x14ac:dyDescent="0.2">
      <c r="A22" s="39" t="s">
        <v>181</v>
      </c>
      <c r="B22" s="40">
        <v>0.55000000000000004</v>
      </c>
      <c r="C22" s="39" t="s">
        <v>179</v>
      </c>
      <c r="D22" s="28"/>
    </row>
    <row r="23" spans="1:4" x14ac:dyDescent="0.2">
      <c r="A23" s="39" t="s">
        <v>182</v>
      </c>
      <c r="B23" s="40">
        <v>0</v>
      </c>
      <c r="C23" s="39" t="s">
        <v>183</v>
      </c>
      <c r="D23" s="28"/>
    </row>
    <row r="24" spans="1:4" x14ac:dyDescent="0.2">
      <c r="A24" s="39" t="s">
        <v>184</v>
      </c>
      <c r="B24" s="40">
        <v>2.5000000000000001E-2</v>
      </c>
      <c r="C24" s="39" t="s">
        <v>185</v>
      </c>
      <c r="D24" s="28"/>
    </row>
    <row r="25" spans="1:4" x14ac:dyDescent="0.2">
      <c r="A25" s="39" t="s">
        <v>186</v>
      </c>
      <c r="B25" s="40">
        <v>0.04</v>
      </c>
      <c r="C25" s="39" t="s">
        <v>185</v>
      </c>
      <c r="D25" s="28"/>
    </row>
    <row r="26" spans="1:4" x14ac:dyDescent="0.2">
      <c r="A26" s="39" t="s">
        <v>187</v>
      </c>
      <c r="B26" s="40">
        <v>0.06</v>
      </c>
      <c r="C26" s="39" t="s">
        <v>185</v>
      </c>
      <c r="D26" s="28"/>
    </row>
    <row r="27" spans="1:4" x14ac:dyDescent="0.2">
      <c r="A27" t="s">
        <v>188</v>
      </c>
      <c r="B27" t="s">
        <v>189</v>
      </c>
      <c r="C27" t="s">
        <v>190</v>
      </c>
    </row>
    <row r="28" spans="1:4" x14ac:dyDescent="0.2">
      <c r="A28" t="s">
        <v>191</v>
      </c>
      <c r="B28">
        <f>SUM(Scoring!E6:E45)</f>
        <v>5800000</v>
      </c>
      <c r="C28" t="s">
        <v>192</v>
      </c>
    </row>
    <row r="29" spans="1:4" ht="31.5" customHeight="1" x14ac:dyDescent="0.2">
      <c r="A29" s="41" t="s">
        <v>193</v>
      </c>
    </row>
    <row r="30" spans="1:4" x14ac:dyDescent="0.2">
      <c r="A30" s="9" t="s">
        <v>194</v>
      </c>
      <c r="B30" s="9" t="s">
        <v>195</v>
      </c>
      <c r="C30" s="74" t="s">
        <v>196</v>
      </c>
      <c r="D30" s="9" t="s">
        <v>197</v>
      </c>
    </row>
    <row r="31" spans="1:4" x14ac:dyDescent="0.2">
      <c r="A31" t="s">
        <v>189</v>
      </c>
      <c r="B31" s="17">
        <v>0.4</v>
      </c>
      <c r="C31" s="17">
        <v>0.35</v>
      </c>
      <c r="D31" s="17">
        <v>0.2</v>
      </c>
    </row>
    <row r="32" spans="1:4" x14ac:dyDescent="0.2">
      <c r="A32" t="s">
        <v>198</v>
      </c>
      <c r="B32" s="17">
        <v>0.25</v>
      </c>
      <c r="C32" s="17">
        <v>0.25</v>
      </c>
      <c r="D32" s="17">
        <v>0.12</v>
      </c>
    </row>
    <row r="33" spans="1:4" x14ac:dyDescent="0.2">
      <c r="A33" t="s">
        <v>199</v>
      </c>
      <c r="B33" s="17">
        <v>0.15</v>
      </c>
      <c r="C33" s="17">
        <v>0.2</v>
      </c>
      <c r="D33" s="17">
        <v>0.08</v>
      </c>
    </row>
    <row r="34" spans="1:4" x14ac:dyDescent="0.2">
      <c r="A34" t="s">
        <v>200</v>
      </c>
      <c r="B34" s="17">
        <f>IFERROR(INDEX($B$31:$B$33,MATCH($B$27,$A$31:$A$33,0)),0.15)</f>
        <v>0.4</v>
      </c>
    </row>
    <row r="35" spans="1:4" x14ac:dyDescent="0.2">
      <c r="A35" t="s">
        <v>201</v>
      </c>
      <c r="B35" s="17">
        <f>IFERROR(INDEX($C$31:$C$33,MATCH($B$27,$A$31:$A$33,0)),0.2)</f>
        <v>0.35</v>
      </c>
    </row>
    <row r="36" spans="1:4" x14ac:dyDescent="0.2">
      <c r="A36" t="s">
        <v>202</v>
      </c>
      <c r="B36" s="17">
        <f>IFERROR(INDEX($D$31:$D$33,MATCH($B$27,$A$31:$A$33,0)),0.08)</f>
        <v>0.2</v>
      </c>
    </row>
    <row r="39" spans="1:4" x14ac:dyDescent="0.2">
      <c r="A39" t="s">
        <v>203</v>
      </c>
      <c r="B39" t="s">
        <v>81</v>
      </c>
      <c r="C39" t="s">
        <v>204</v>
      </c>
    </row>
    <row r="40" spans="1:4" ht="32" x14ac:dyDescent="0.2">
      <c r="A40" s="41" t="s">
        <v>205</v>
      </c>
      <c r="C40" t="s">
        <v>206</v>
      </c>
    </row>
    <row r="41" spans="1:4" x14ac:dyDescent="0.2">
      <c r="A41" s="33" t="s">
        <v>207</v>
      </c>
      <c r="B41" s="42">
        <v>0.6</v>
      </c>
      <c r="C41" s="33" t="s">
        <v>208</v>
      </c>
    </row>
    <row r="42" spans="1:4" x14ac:dyDescent="0.2">
      <c r="A42" s="33" t="s">
        <v>209</v>
      </c>
      <c r="B42" s="42">
        <v>0.25</v>
      </c>
      <c r="C42" s="33" t="s">
        <v>210</v>
      </c>
    </row>
    <row r="43" spans="1:4" x14ac:dyDescent="0.2">
      <c r="A43" s="33" t="s">
        <v>211</v>
      </c>
      <c r="B43" s="42">
        <v>0.15</v>
      </c>
      <c r="C43" s="33" t="s">
        <v>212</v>
      </c>
    </row>
    <row r="44" spans="1:4" x14ac:dyDescent="0.2">
      <c r="A44" s="37" t="s">
        <v>213</v>
      </c>
      <c r="B44" s="38" t="s">
        <v>62</v>
      </c>
      <c r="C44" s="37" t="s">
        <v>214</v>
      </c>
    </row>
    <row r="45" spans="1:4" x14ac:dyDescent="0.2">
      <c r="A45" s="37" t="s">
        <v>215</v>
      </c>
      <c r="B45" s="38" t="s">
        <v>216</v>
      </c>
      <c r="C45" s="37" t="s">
        <v>217</v>
      </c>
    </row>
    <row r="46" spans="1:4" x14ac:dyDescent="0.2">
      <c r="A46" s="37" t="s">
        <v>218</v>
      </c>
      <c r="B46" s="38" t="s">
        <v>219</v>
      </c>
      <c r="C46" s="37" t="s">
        <v>220</v>
      </c>
    </row>
    <row r="47" spans="1:4" x14ac:dyDescent="0.2">
      <c r="A47" s="35" t="s">
        <v>221</v>
      </c>
      <c r="B47" s="36">
        <v>-15</v>
      </c>
      <c r="C47" s="35" t="s">
        <v>222</v>
      </c>
    </row>
    <row r="48" spans="1:4" x14ac:dyDescent="0.2">
      <c r="A48" s="35" t="s">
        <v>223</v>
      </c>
      <c r="B48" s="36">
        <v>-10</v>
      </c>
      <c r="C48" s="35" t="s">
        <v>224</v>
      </c>
    </row>
  </sheetData>
  <mergeCells count="1">
    <mergeCell ref="A1:C1"/>
  </mergeCells>
  <dataValidations count="2">
    <dataValidation type="list" allowBlank="1" sqref="B27" xr:uid="{00000000-0002-0000-0500-000000000000}">
      <formula1>"early,growth,mature"</formula1>
      <formula2>0</formula2>
    </dataValidation>
    <dataValidation type="list" allowBlank="1" sqref="B39" xr:uid="{00000000-0002-0000-0500-000001000000}">
      <formula1>"ANO,NE"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zoomScaleNormal="100" workbookViewId="0">
      <selection activeCell="I7" sqref="I7"/>
    </sheetView>
  </sheetViews>
  <sheetFormatPr baseColWidth="10" defaultColWidth="8.83203125" defaultRowHeight="15" customHeight="1" x14ac:dyDescent="0.2"/>
  <cols>
    <col min="1" max="2" width="28" customWidth="1"/>
    <col min="4" max="4" width="22" customWidth="1"/>
    <col min="6" max="7" width="12" customWidth="1"/>
    <col min="8" max="8" width="14" customWidth="1"/>
    <col min="9" max="9" width="13" customWidth="1"/>
    <col min="10" max="10" width="12" customWidth="1"/>
    <col min="12" max="12" width="18" customWidth="1"/>
    <col min="13" max="13" width="12" customWidth="1"/>
    <col min="14" max="14" width="24" customWidth="1"/>
  </cols>
  <sheetData>
    <row r="1" spans="1:14" ht="15" customHeight="1" x14ac:dyDescent="0.2">
      <c r="A1" s="15" t="s">
        <v>35</v>
      </c>
      <c r="B1" s="15" t="s">
        <v>36</v>
      </c>
      <c r="D1" s="15" t="s">
        <v>37</v>
      </c>
      <c r="F1" s="73" t="s">
        <v>38</v>
      </c>
      <c r="G1" s="73"/>
      <c r="H1" s="73"/>
      <c r="I1" s="73"/>
      <c r="J1" s="73"/>
      <c r="L1" s="73" t="s">
        <v>39</v>
      </c>
      <c r="M1" s="73"/>
      <c r="N1" s="73"/>
    </row>
    <row r="2" spans="1:14" ht="15" customHeight="1" x14ac:dyDescent="0.2">
      <c r="A2" t="s">
        <v>40</v>
      </c>
      <c r="B2" t="s">
        <v>41</v>
      </c>
      <c r="D2" t="s">
        <v>42</v>
      </c>
      <c r="F2" s="16" t="s">
        <v>43</v>
      </c>
      <c r="G2" s="16" t="s">
        <v>44</v>
      </c>
      <c r="H2" s="16" t="s">
        <v>45</v>
      </c>
      <c r="I2" s="16" t="s">
        <v>46</v>
      </c>
      <c r="J2" s="16" t="s">
        <v>47</v>
      </c>
      <c r="L2" s="16" t="s">
        <v>25</v>
      </c>
      <c r="M2" s="16" t="s">
        <v>43</v>
      </c>
      <c r="N2" s="16" t="s">
        <v>48</v>
      </c>
    </row>
    <row r="3" spans="1:14" ht="15" customHeight="1" x14ac:dyDescent="0.2">
      <c r="A3" t="s">
        <v>49</v>
      </c>
      <c r="B3" t="s">
        <v>50</v>
      </c>
      <c r="D3" t="s">
        <v>51</v>
      </c>
      <c r="F3" t="s">
        <v>52</v>
      </c>
      <c r="G3" s="14">
        <v>100</v>
      </c>
      <c r="H3" s="17">
        <v>0.9</v>
      </c>
      <c r="I3" s="17">
        <v>0</v>
      </c>
      <c r="J3" t="s">
        <v>53</v>
      </c>
      <c r="L3" t="s">
        <v>40</v>
      </c>
      <c r="M3" t="s">
        <v>54</v>
      </c>
      <c r="N3" s="18" t="s">
        <v>55</v>
      </c>
    </row>
    <row r="4" spans="1:14" ht="15" customHeight="1" x14ac:dyDescent="0.2">
      <c r="A4" t="s">
        <v>56</v>
      </c>
      <c r="B4" t="s">
        <v>57</v>
      </c>
      <c r="D4" t="s">
        <v>254</v>
      </c>
      <c r="F4" t="s">
        <v>58</v>
      </c>
      <c r="G4" s="14">
        <v>90</v>
      </c>
      <c r="H4" s="17">
        <v>0.9</v>
      </c>
      <c r="I4" s="17">
        <v>0</v>
      </c>
      <c r="J4" t="s">
        <v>53</v>
      </c>
      <c r="L4" t="s">
        <v>49</v>
      </c>
      <c r="M4" t="s">
        <v>59</v>
      </c>
      <c r="N4" s="18" t="s">
        <v>55</v>
      </c>
    </row>
    <row r="5" spans="1:14" ht="15" customHeight="1" x14ac:dyDescent="0.2">
      <c r="A5" t="s">
        <v>60</v>
      </c>
      <c r="B5" t="s">
        <v>61</v>
      </c>
      <c r="F5" t="s">
        <v>54</v>
      </c>
      <c r="G5" s="14">
        <v>80</v>
      </c>
      <c r="H5" s="17">
        <v>0.85</v>
      </c>
      <c r="I5" s="17">
        <v>5.0000000000000001E-3</v>
      </c>
      <c r="J5" t="s">
        <v>53</v>
      </c>
      <c r="L5" t="s">
        <v>56</v>
      </c>
      <c r="M5" t="s">
        <v>62</v>
      </c>
      <c r="N5" s="18" t="s">
        <v>55</v>
      </c>
    </row>
    <row r="6" spans="1:14" ht="15" customHeight="1" x14ac:dyDescent="0.2">
      <c r="A6" t="s">
        <v>63</v>
      </c>
      <c r="B6" t="s">
        <v>64</v>
      </c>
      <c r="F6" t="s">
        <v>62</v>
      </c>
      <c r="G6" s="14">
        <v>65</v>
      </c>
      <c r="H6" s="17">
        <v>0.75</v>
      </c>
      <c r="I6" s="17">
        <v>0.01</v>
      </c>
      <c r="J6" t="s">
        <v>53</v>
      </c>
      <c r="L6" t="s">
        <v>60</v>
      </c>
      <c r="M6" t="s">
        <v>58</v>
      </c>
      <c r="N6" s="18" t="s">
        <v>65</v>
      </c>
    </row>
    <row r="7" spans="1:14" ht="15" customHeight="1" x14ac:dyDescent="0.2">
      <c r="F7" t="s">
        <v>59</v>
      </c>
      <c r="G7" s="14">
        <v>45</v>
      </c>
      <c r="H7" s="17">
        <v>0.55000000000000004</v>
      </c>
      <c r="I7" s="17">
        <v>0.02</v>
      </c>
      <c r="J7" t="s">
        <v>66</v>
      </c>
      <c r="L7" t="s">
        <v>63</v>
      </c>
      <c r="M7" t="s">
        <v>54</v>
      </c>
      <c r="N7" s="18" t="s">
        <v>65</v>
      </c>
    </row>
    <row r="8" spans="1:14" ht="15" customHeight="1" x14ac:dyDescent="0.2">
      <c r="F8" t="s">
        <v>67</v>
      </c>
      <c r="G8" s="14">
        <v>25</v>
      </c>
      <c r="H8" s="17">
        <v>0</v>
      </c>
      <c r="I8" s="17">
        <v>0.03</v>
      </c>
      <c r="J8" t="s">
        <v>68</v>
      </c>
    </row>
    <row r="9" spans="1:14" ht="15" customHeight="1" x14ac:dyDescent="0.2">
      <c r="F9" t="s">
        <v>69</v>
      </c>
      <c r="G9" s="14">
        <v>10</v>
      </c>
      <c r="H9" s="17">
        <v>0</v>
      </c>
      <c r="I9" s="17">
        <v>0.04</v>
      </c>
      <c r="J9" t="s">
        <v>68</v>
      </c>
    </row>
    <row r="10" spans="1:14" ht="15" customHeight="1" x14ac:dyDescent="0.2">
      <c r="F10" t="s">
        <v>70</v>
      </c>
      <c r="G10" s="14">
        <v>35</v>
      </c>
      <c r="H10" s="17">
        <v>0.5</v>
      </c>
      <c r="I10" s="17">
        <v>2.5000000000000001E-2</v>
      </c>
      <c r="J10" t="s">
        <v>66</v>
      </c>
      <c r="L10" s="70" t="s">
        <v>71</v>
      </c>
      <c r="M10" s="70"/>
      <c r="N10" s="70"/>
    </row>
  </sheetData>
  <mergeCells count="3">
    <mergeCell ref="F1:J1"/>
    <mergeCell ref="L1:N1"/>
    <mergeCell ref="L10:N10"/>
  </mergeCells>
  <dataValidations count="1">
    <dataValidation type="list" allowBlank="1" error="Použijte rating z mapování F3:F10." prompt="Vyberte interní nebo externí rating anchora." sqref="M3:M28" xr:uid="{00000000-0002-0000-0200-000000000000}">
      <formula1>$F$3:$F$10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00"/>
  <sheetViews>
    <sheetView zoomScaleNormal="100" workbookViewId="0">
      <pane ySplit="1" topLeftCell="A17" activePane="bottomLeft" state="frozen"/>
      <selection pane="bottomLeft" activeCell="E23" sqref="E23"/>
    </sheetView>
  </sheetViews>
  <sheetFormatPr baseColWidth="10" defaultColWidth="8.83203125" defaultRowHeight="15" customHeight="1" x14ac:dyDescent="0.2"/>
  <cols>
    <col min="1" max="1" width="18" customWidth="1"/>
    <col min="2" max="2" width="22" customWidth="1"/>
    <col min="3" max="3" width="16" customWidth="1"/>
    <col min="4" max="5" width="14" customWidth="1"/>
    <col min="6" max="6" width="12" customWidth="1"/>
    <col min="7" max="7" width="10" customWidth="1"/>
    <col min="8" max="8" width="12" customWidth="1"/>
    <col min="9" max="9" width="10" customWidth="1"/>
  </cols>
  <sheetData>
    <row r="1" spans="1:16" ht="31.5" customHeight="1" x14ac:dyDescent="0.2">
      <c r="A1" s="19" t="s">
        <v>25</v>
      </c>
      <c r="B1" s="19" t="s">
        <v>72</v>
      </c>
      <c r="C1" s="19" t="s">
        <v>73</v>
      </c>
      <c r="D1" s="19" t="s">
        <v>74</v>
      </c>
      <c r="E1" s="19" t="s">
        <v>75</v>
      </c>
      <c r="F1" s="19" t="s">
        <v>76</v>
      </c>
      <c r="G1" s="19" t="s">
        <v>77</v>
      </c>
      <c r="H1" s="19" t="s">
        <v>78</v>
      </c>
      <c r="I1" s="19" t="s">
        <v>79</v>
      </c>
      <c r="K1" s="9" t="s">
        <v>80</v>
      </c>
    </row>
    <row r="2" spans="1:16" x14ac:dyDescent="0.2">
      <c r="A2" t="s">
        <v>40</v>
      </c>
      <c r="B2" t="s">
        <v>41</v>
      </c>
      <c r="C2">
        <v>900000</v>
      </c>
      <c r="D2" s="20">
        <v>44941</v>
      </c>
      <c r="E2" s="20">
        <v>44941</v>
      </c>
      <c r="F2">
        <f t="shared" ref="F2:F65" si="0">IF(OR(D2="",E2=""),"",E2-D2)</f>
        <v>0</v>
      </c>
      <c r="G2" t="str">
        <f t="shared" ref="G2:G65" si="1">IF(F2="","",IF(F2&gt;0,"ANO","NE"))</f>
        <v>NE</v>
      </c>
      <c r="H2" t="s">
        <v>81</v>
      </c>
      <c r="I2" t="s">
        <v>81</v>
      </c>
    </row>
    <row r="3" spans="1:16" x14ac:dyDescent="0.2">
      <c r="A3" t="s">
        <v>40</v>
      </c>
      <c r="B3" t="s">
        <v>41</v>
      </c>
      <c r="C3">
        <v>915000</v>
      </c>
      <c r="D3" s="20">
        <v>44971</v>
      </c>
      <c r="E3" s="20">
        <v>44976</v>
      </c>
      <c r="F3">
        <f t="shared" si="0"/>
        <v>5</v>
      </c>
      <c r="G3" t="str">
        <f t="shared" si="1"/>
        <v>ANO</v>
      </c>
      <c r="H3" t="s">
        <v>81</v>
      </c>
      <c r="I3" t="s">
        <v>81</v>
      </c>
    </row>
    <row r="4" spans="1:16" x14ac:dyDescent="0.2">
      <c r="A4" t="s">
        <v>40</v>
      </c>
      <c r="B4" t="s">
        <v>41</v>
      </c>
      <c r="C4">
        <v>930000</v>
      </c>
      <c r="D4" s="20">
        <v>45001</v>
      </c>
      <c r="E4" s="20">
        <v>45006</v>
      </c>
      <c r="F4">
        <f t="shared" si="0"/>
        <v>5</v>
      </c>
      <c r="G4" t="str">
        <f t="shared" si="1"/>
        <v>ANO</v>
      </c>
      <c r="H4" t="s">
        <v>81</v>
      </c>
      <c r="I4" t="s">
        <v>81</v>
      </c>
    </row>
    <row r="5" spans="1:16" x14ac:dyDescent="0.2">
      <c r="A5" t="s">
        <v>40</v>
      </c>
      <c r="B5" t="s">
        <v>41</v>
      </c>
      <c r="C5">
        <v>945000</v>
      </c>
      <c r="D5" s="20">
        <v>45031</v>
      </c>
      <c r="E5" s="20">
        <v>45031</v>
      </c>
      <c r="F5">
        <f t="shared" si="0"/>
        <v>0</v>
      </c>
      <c r="G5" t="str">
        <f t="shared" si="1"/>
        <v>NE</v>
      </c>
      <c r="H5" t="s">
        <v>81</v>
      </c>
      <c r="I5" t="s">
        <v>81</v>
      </c>
      <c r="K5" s="9" t="s">
        <v>25</v>
      </c>
      <c r="L5" s="9" t="s">
        <v>26</v>
      </c>
      <c r="M5" s="9" t="s">
        <v>24</v>
      </c>
      <c r="N5" s="9" t="s">
        <v>82</v>
      </c>
      <c r="O5" s="9" t="s">
        <v>74</v>
      </c>
      <c r="P5" s="9" t="s">
        <v>83</v>
      </c>
    </row>
    <row r="6" spans="1:16" x14ac:dyDescent="0.2">
      <c r="A6" t="s">
        <v>40</v>
      </c>
      <c r="B6" t="s">
        <v>41</v>
      </c>
      <c r="C6">
        <v>960000</v>
      </c>
      <c r="D6" s="20">
        <v>45061</v>
      </c>
      <c r="E6" s="20">
        <v>45066</v>
      </c>
      <c r="F6">
        <f t="shared" si="0"/>
        <v>5</v>
      </c>
      <c r="G6" t="str">
        <f t="shared" si="1"/>
        <v>ANO</v>
      </c>
      <c r="H6" t="s">
        <v>81</v>
      </c>
      <c r="I6" t="s">
        <v>81</v>
      </c>
      <c r="K6" t="str">
        <f>IF(Scoring!$C6="Uhrazená",Scoring!$A6,"")</f>
        <v/>
      </c>
      <c r="L6" t="str">
        <f>IF(Scoring!$C6="Uhrazená",Scoring!$B6,"")</f>
        <v/>
      </c>
      <c r="M6" t="str">
        <f>IF(Scoring!$C6="Uhrazená",Scoring!$D6,"")</f>
        <v/>
      </c>
      <c r="N6" t="str">
        <f>IF(Scoring!$C6="Uhrazená",Scoring!$E6,"")</f>
        <v/>
      </c>
      <c r="O6" t="str">
        <f>IF(Scoring!$C6="Uhrazená",Scoring!$F6,"")</f>
        <v/>
      </c>
      <c r="P6" t="str">
        <f ca="1">IF(Scoring!$C6="Uhrazená",TODAY(),"")</f>
        <v/>
      </c>
    </row>
    <row r="7" spans="1:16" x14ac:dyDescent="0.2">
      <c r="A7" t="s">
        <v>40</v>
      </c>
      <c r="B7" t="s">
        <v>41</v>
      </c>
      <c r="C7">
        <v>975000</v>
      </c>
      <c r="D7" s="20">
        <v>45091</v>
      </c>
      <c r="E7" s="20">
        <v>45096</v>
      </c>
      <c r="F7">
        <f t="shared" si="0"/>
        <v>5</v>
      </c>
      <c r="G7" t="str">
        <f t="shared" si="1"/>
        <v>ANO</v>
      </c>
      <c r="H7" t="s">
        <v>81</v>
      </c>
      <c r="I7" t="s">
        <v>81</v>
      </c>
      <c r="K7" t="str">
        <f>IF(Scoring!$C7="Uhrazená",Scoring!$A7,"")</f>
        <v/>
      </c>
      <c r="L7" t="str">
        <f>IF(Scoring!$C7="Uhrazená",Scoring!$B7,"")</f>
        <v/>
      </c>
      <c r="M7" t="str">
        <f>IF(Scoring!$C7="Uhrazená",Scoring!$D7,"")</f>
        <v/>
      </c>
      <c r="N7" t="str">
        <f>IF(Scoring!$C7="Uhrazená",Scoring!$E7,"")</f>
        <v/>
      </c>
      <c r="O7" t="str">
        <f>IF(Scoring!$C7="Uhrazená",Scoring!$F7,"")</f>
        <v/>
      </c>
      <c r="P7" t="str">
        <f ca="1">IF(Scoring!$C7="Uhrazená",TODAY(),"")</f>
        <v/>
      </c>
    </row>
    <row r="8" spans="1:16" x14ac:dyDescent="0.2">
      <c r="A8" t="s">
        <v>40</v>
      </c>
      <c r="B8" t="s">
        <v>41</v>
      </c>
      <c r="C8">
        <v>990000</v>
      </c>
      <c r="D8" s="20">
        <v>45121</v>
      </c>
      <c r="E8" s="20">
        <v>45121</v>
      </c>
      <c r="F8">
        <f t="shared" si="0"/>
        <v>0</v>
      </c>
      <c r="G8" t="str">
        <f t="shared" si="1"/>
        <v>NE</v>
      </c>
      <c r="H8" t="s">
        <v>81</v>
      </c>
      <c r="I8" t="s">
        <v>81</v>
      </c>
      <c r="K8" t="str">
        <f>IF(Scoring!$C8="Uhrazená",Scoring!$A8,"")</f>
        <v>Anchor C</v>
      </c>
      <c r="L8" t="str">
        <f>IF(Scoring!$C8="Uhrazená",Scoring!$B8,"")</f>
        <v>Dodavatel C</v>
      </c>
      <c r="M8" t="str">
        <f>IF(Scoring!$C8="Uhrazená",Scoring!$D8,"")</f>
        <v>D003</v>
      </c>
      <c r="N8">
        <f>IF(Scoring!$C8="Uhrazená",Scoring!$E8,"")</f>
        <v>200000</v>
      </c>
      <c r="O8" s="20">
        <f>IF(Scoring!$C8="Uhrazená",Scoring!$F8,"")</f>
        <v>46183</v>
      </c>
      <c r="P8" s="21">
        <f ca="1">IF(Scoring!$C8="Uhrazená",TODAY(),"")</f>
        <v>46120</v>
      </c>
    </row>
    <row r="9" spans="1:16" x14ac:dyDescent="0.2">
      <c r="A9" t="s">
        <v>40</v>
      </c>
      <c r="B9" t="s">
        <v>41</v>
      </c>
      <c r="C9">
        <v>1005000</v>
      </c>
      <c r="D9" s="20">
        <v>45151</v>
      </c>
      <c r="E9" s="20">
        <v>45156</v>
      </c>
      <c r="F9">
        <f t="shared" si="0"/>
        <v>5</v>
      </c>
      <c r="G9" t="str">
        <f t="shared" si="1"/>
        <v>ANO</v>
      </c>
      <c r="H9" t="s">
        <v>81</v>
      </c>
      <c r="I9" t="s">
        <v>81</v>
      </c>
      <c r="K9" t="str">
        <f>IF(Scoring!$C9="Uhrazená",Scoring!$A9,"")</f>
        <v/>
      </c>
      <c r="L9" t="str">
        <f>IF(Scoring!$C9="Uhrazená",Scoring!$B9,"")</f>
        <v/>
      </c>
      <c r="M9" t="str">
        <f>IF(Scoring!$C9="Uhrazená",Scoring!$D9,"")</f>
        <v/>
      </c>
      <c r="N9" t="str">
        <f>IF(Scoring!$C9="Uhrazená",Scoring!$E9,"")</f>
        <v/>
      </c>
      <c r="O9" t="str">
        <f>IF(Scoring!$C9="Uhrazená",Scoring!$F9,"")</f>
        <v/>
      </c>
      <c r="P9" t="str">
        <f ca="1">IF(Scoring!$C9="Uhrazená",TODAY(),"")</f>
        <v/>
      </c>
    </row>
    <row r="10" spans="1:16" x14ac:dyDescent="0.2">
      <c r="A10" t="s">
        <v>40</v>
      </c>
      <c r="B10" t="s">
        <v>41</v>
      </c>
      <c r="C10">
        <v>1020000</v>
      </c>
      <c r="D10" s="20">
        <v>45181</v>
      </c>
      <c r="E10" s="20">
        <v>45186</v>
      </c>
      <c r="F10">
        <f t="shared" si="0"/>
        <v>5</v>
      </c>
      <c r="G10" t="str">
        <f t="shared" si="1"/>
        <v>ANO</v>
      </c>
      <c r="H10" t="s">
        <v>81</v>
      </c>
      <c r="I10" t="s">
        <v>81</v>
      </c>
      <c r="K10" t="str">
        <f>IF(Scoring!$C10="Uhrazená",Scoring!$A10,"")</f>
        <v>Maersk</v>
      </c>
      <c r="L10" t="str">
        <f>IF(Scoring!$C10="Uhrazená",Scoring!$B10,"")</f>
        <v>AVS</v>
      </c>
      <c r="M10" t="str">
        <f>IF(Scoring!$C10="Uhrazená",Scoring!$D10,"")</f>
        <v>D005</v>
      </c>
      <c r="N10">
        <f>IF(Scoring!$C10="Uhrazená",Scoring!$E10,"")</f>
        <v>200000</v>
      </c>
      <c r="O10" s="20">
        <f>IF(Scoring!$C10="Uhrazená",Scoring!$F10,"")</f>
        <v>46183</v>
      </c>
      <c r="P10" s="21">
        <f ca="1">IF(Scoring!$C10="Uhrazená",TODAY(),"")</f>
        <v>46120</v>
      </c>
    </row>
    <row r="11" spans="1:16" x14ac:dyDescent="0.2">
      <c r="A11" t="s">
        <v>40</v>
      </c>
      <c r="B11" t="s">
        <v>41</v>
      </c>
      <c r="C11">
        <v>1035000</v>
      </c>
      <c r="D11" s="20">
        <v>45211</v>
      </c>
      <c r="E11" s="20">
        <v>45211</v>
      </c>
      <c r="F11">
        <f t="shared" si="0"/>
        <v>0</v>
      </c>
      <c r="G11" t="str">
        <f t="shared" si="1"/>
        <v>NE</v>
      </c>
      <c r="H11" t="s">
        <v>81</v>
      </c>
      <c r="I11" t="s">
        <v>81</v>
      </c>
      <c r="K11" t="str">
        <f>IF(Scoring!$C11="Uhrazená",Scoring!$A11,"")</f>
        <v/>
      </c>
      <c r="L11" t="str">
        <f>IF(Scoring!$C11="Uhrazená",Scoring!$B11,"")</f>
        <v/>
      </c>
      <c r="M11" t="str">
        <f>IF(Scoring!$C11="Uhrazená",Scoring!$D11,"")</f>
        <v/>
      </c>
      <c r="N11" t="str">
        <f>IF(Scoring!$C11="Uhrazená",Scoring!$E11,"")</f>
        <v/>
      </c>
      <c r="O11" t="str">
        <f>IF(Scoring!$C11="Uhrazená",Scoring!$F11,"")</f>
        <v/>
      </c>
      <c r="P11" t="str">
        <f ca="1">IF(Scoring!$C11="Uhrazená",TODAY(),"")</f>
        <v/>
      </c>
    </row>
    <row r="12" spans="1:16" x14ac:dyDescent="0.2">
      <c r="A12" t="s">
        <v>40</v>
      </c>
      <c r="B12" t="s">
        <v>41</v>
      </c>
      <c r="C12">
        <v>1050000</v>
      </c>
      <c r="D12" s="20">
        <v>45241</v>
      </c>
      <c r="E12" s="20">
        <v>45246</v>
      </c>
      <c r="F12">
        <f t="shared" si="0"/>
        <v>5</v>
      </c>
      <c r="G12" t="str">
        <f t="shared" si="1"/>
        <v>ANO</v>
      </c>
      <c r="H12" t="s">
        <v>81</v>
      </c>
      <c r="I12" t="s">
        <v>81</v>
      </c>
      <c r="K12" t="str">
        <f>IF(Scoring!$C12="Uhrazená",Scoring!$A12,"")</f>
        <v>Maersk</v>
      </c>
      <c r="L12" t="str">
        <f>IF(Scoring!$C12="Uhrazená",Scoring!$B12,"")</f>
        <v>AVS</v>
      </c>
      <c r="M12" t="str">
        <f>IF(Scoring!$C12="Uhrazená",Scoring!$D12,"")</f>
        <v>D007</v>
      </c>
      <c r="N12">
        <f>IF(Scoring!$C12="Uhrazená",Scoring!$E12,"")</f>
        <v>200000</v>
      </c>
      <c r="O12">
        <f>IF(Scoring!$C12="Uhrazená",Scoring!$F12,"")</f>
        <v>46183</v>
      </c>
      <c r="P12">
        <f ca="1">IF(Scoring!$C12="Uhrazená",TODAY(),"")</f>
        <v>46120</v>
      </c>
    </row>
    <row r="13" spans="1:16" x14ac:dyDescent="0.2">
      <c r="A13" t="s">
        <v>40</v>
      </c>
      <c r="B13" t="s">
        <v>41</v>
      </c>
      <c r="C13">
        <v>1065000</v>
      </c>
      <c r="D13" s="20">
        <v>45271</v>
      </c>
      <c r="E13" s="20">
        <v>45276</v>
      </c>
      <c r="F13">
        <f t="shared" si="0"/>
        <v>5</v>
      </c>
      <c r="G13" t="str">
        <f t="shared" si="1"/>
        <v>ANO</v>
      </c>
      <c r="H13" t="s">
        <v>81</v>
      </c>
      <c r="I13" t="s">
        <v>81</v>
      </c>
      <c r="K13" t="str">
        <f>IF(Scoring!$C13="Uhrazená",Scoring!$A13,"")</f>
        <v/>
      </c>
      <c r="L13" t="str">
        <f>IF(Scoring!$C13="Uhrazená",Scoring!$B13,"")</f>
        <v/>
      </c>
      <c r="M13" t="str">
        <f>IF(Scoring!$C13="Uhrazená",Scoring!$D13,"")</f>
        <v/>
      </c>
      <c r="N13" t="str">
        <f>IF(Scoring!$C13="Uhrazená",Scoring!$E13,"")</f>
        <v/>
      </c>
      <c r="O13" t="str">
        <f>IF(Scoring!$C13="Uhrazená",Scoring!$F13,"")</f>
        <v/>
      </c>
      <c r="P13" t="str">
        <f ca="1">IF(Scoring!$C13="Uhrazená",TODAY(),"")</f>
        <v/>
      </c>
    </row>
    <row r="14" spans="1:16" x14ac:dyDescent="0.2">
      <c r="A14" t="s">
        <v>40</v>
      </c>
      <c r="B14" t="s">
        <v>41</v>
      </c>
      <c r="C14">
        <v>1080000</v>
      </c>
      <c r="D14" s="20">
        <v>45301</v>
      </c>
      <c r="E14" s="20">
        <v>45301</v>
      </c>
      <c r="F14">
        <f t="shared" si="0"/>
        <v>0</v>
      </c>
      <c r="G14" t="str">
        <f t="shared" si="1"/>
        <v>NE</v>
      </c>
      <c r="H14" t="s">
        <v>81</v>
      </c>
      <c r="I14" t="s">
        <v>81</v>
      </c>
      <c r="K14" t="str">
        <f>IF(Scoring!$C14="Uhrazená",Scoring!$A14,"")</f>
        <v/>
      </c>
      <c r="L14" t="str">
        <f>IF(Scoring!$C14="Uhrazená",Scoring!$B14,"")</f>
        <v/>
      </c>
      <c r="M14" t="str">
        <f>IF(Scoring!$C14="Uhrazená",Scoring!$D14,"")</f>
        <v/>
      </c>
      <c r="N14" t="str">
        <f>IF(Scoring!$C14="Uhrazená",Scoring!$E14,"")</f>
        <v/>
      </c>
      <c r="O14" t="str">
        <f>IF(Scoring!$C14="Uhrazená",Scoring!$F14,"")</f>
        <v/>
      </c>
      <c r="P14" t="str">
        <f ca="1">IF(Scoring!$C14="Uhrazená",TODAY(),"")</f>
        <v/>
      </c>
    </row>
    <row r="15" spans="1:16" x14ac:dyDescent="0.2">
      <c r="A15" t="s">
        <v>40</v>
      </c>
      <c r="B15" t="s">
        <v>41</v>
      </c>
      <c r="C15">
        <v>1095000</v>
      </c>
      <c r="D15" s="20">
        <v>45331</v>
      </c>
      <c r="E15" s="20">
        <v>45336</v>
      </c>
      <c r="F15">
        <f t="shared" si="0"/>
        <v>5</v>
      </c>
      <c r="G15" t="str">
        <f t="shared" si="1"/>
        <v>ANO</v>
      </c>
      <c r="H15" t="s">
        <v>81</v>
      </c>
      <c r="I15" t="s">
        <v>81</v>
      </c>
      <c r="K15" t="str">
        <f>IF(Scoring!$C15="Uhrazená",Scoring!$A15,"")</f>
        <v/>
      </c>
      <c r="L15" t="str">
        <f>IF(Scoring!$C15="Uhrazená",Scoring!$B15,"")</f>
        <v/>
      </c>
      <c r="M15" t="str">
        <f>IF(Scoring!$C15="Uhrazená",Scoring!$D15,"")</f>
        <v/>
      </c>
      <c r="N15" t="str">
        <f>IF(Scoring!$C15="Uhrazená",Scoring!$E15,"")</f>
        <v/>
      </c>
      <c r="O15" t="str">
        <f>IF(Scoring!$C15="Uhrazená",Scoring!$F15,"")</f>
        <v/>
      </c>
      <c r="P15" t="str">
        <f ca="1">IF(Scoring!$C15="Uhrazená",TODAY(),"")</f>
        <v/>
      </c>
    </row>
    <row r="16" spans="1:16" x14ac:dyDescent="0.2">
      <c r="A16" t="s">
        <v>49</v>
      </c>
      <c r="B16" t="s">
        <v>50</v>
      </c>
      <c r="C16">
        <v>900000</v>
      </c>
      <c r="D16" s="20">
        <v>44941</v>
      </c>
      <c r="E16" s="20">
        <v>44941</v>
      </c>
      <c r="F16">
        <f t="shared" si="0"/>
        <v>0</v>
      </c>
      <c r="G16" t="str">
        <f t="shared" si="1"/>
        <v>NE</v>
      </c>
      <c r="H16" t="s">
        <v>81</v>
      </c>
      <c r="I16" t="s">
        <v>81</v>
      </c>
      <c r="K16" t="str">
        <f>IF(Scoring!$C16="Uhrazená",Scoring!$A16,"")</f>
        <v/>
      </c>
      <c r="L16" t="str">
        <f>IF(Scoring!$C16="Uhrazená",Scoring!$B16,"")</f>
        <v/>
      </c>
      <c r="M16" t="str">
        <f>IF(Scoring!$C16="Uhrazená",Scoring!$D16,"")</f>
        <v/>
      </c>
      <c r="N16" t="str">
        <f>IF(Scoring!$C16="Uhrazená",Scoring!$E16,"")</f>
        <v/>
      </c>
      <c r="O16" t="str">
        <f>IF(Scoring!$C16="Uhrazená",Scoring!$F16,"")</f>
        <v/>
      </c>
      <c r="P16" t="str">
        <f ca="1">IF(Scoring!$C16="Uhrazená",TODAY(),"")</f>
        <v/>
      </c>
    </row>
    <row r="17" spans="1:16" x14ac:dyDescent="0.2">
      <c r="A17" t="s">
        <v>49</v>
      </c>
      <c r="B17" t="s">
        <v>50</v>
      </c>
      <c r="C17">
        <v>915000</v>
      </c>
      <c r="D17" s="20">
        <v>44971</v>
      </c>
      <c r="E17" s="20">
        <v>44976</v>
      </c>
      <c r="F17">
        <f t="shared" si="0"/>
        <v>5</v>
      </c>
      <c r="G17" t="str">
        <f t="shared" si="1"/>
        <v>ANO</v>
      </c>
      <c r="H17" t="s">
        <v>81</v>
      </c>
      <c r="I17" t="s">
        <v>81</v>
      </c>
      <c r="K17" t="str">
        <f>IF(Scoring!$C17="Uhrazená",Scoring!$A17,"")</f>
        <v/>
      </c>
      <c r="L17" t="str">
        <f>IF(Scoring!$C17="Uhrazená",Scoring!$B17,"")</f>
        <v/>
      </c>
      <c r="M17" t="str">
        <f>IF(Scoring!$C17="Uhrazená",Scoring!$D17,"")</f>
        <v/>
      </c>
      <c r="N17" t="str">
        <f>IF(Scoring!$C17="Uhrazená",Scoring!$E17,"")</f>
        <v/>
      </c>
      <c r="O17" t="str">
        <f>IF(Scoring!$C17="Uhrazená",Scoring!$F17,"")</f>
        <v/>
      </c>
      <c r="P17" t="str">
        <f ca="1">IF(Scoring!$C17="Uhrazená",TODAY(),"")</f>
        <v/>
      </c>
    </row>
    <row r="18" spans="1:16" x14ac:dyDescent="0.2">
      <c r="A18" t="s">
        <v>49</v>
      </c>
      <c r="B18" t="s">
        <v>50</v>
      </c>
      <c r="C18">
        <v>930000</v>
      </c>
      <c r="D18" s="20">
        <v>45001</v>
      </c>
      <c r="E18" s="20">
        <v>45006</v>
      </c>
      <c r="F18">
        <f t="shared" si="0"/>
        <v>5</v>
      </c>
      <c r="G18" t="str">
        <f t="shared" si="1"/>
        <v>ANO</v>
      </c>
      <c r="H18" t="s">
        <v>81</v>
      </c>
      <c r="I18" t="s">
        <v>81</v>
      </c>
      <c r="K18" t="str">
        <f>IF(Scoring!$C18="Uhrazená",Scoring!$A18,"")</f>
        <v/>
      </c>
      <c r="L18" t="str">
        <f>IF(Scoring!$C18="Uhrazená",Scoring!$B18,"")</f>
        <v/>
      </c>
      <c r="M18" t="str">
        <f>IF(Scoring!$C18="Uhrazená",Scoring!$D18,"")</f>
        <v/>
      </c>
      <c r="N18" t="str">
        <f>IF(Scoring!$C18="Uhrazená",Scoring!$E18,"")</f>
        <v/>
      </c>
      <c r="O18" t="str">
        <f>IF(Scoring!$C18="Uhrazená",Scoring!$F18,"")</f>
        <v/>
      </c>
      <c r="P18" t="str">
        <f ca="1">IF(Scoring!$C18="Uhrazená",TODAY(),"")</f>
        <v/>
      </c>
    </row>
    <row r="19" spans="1:16" x14ac:dyDescent="0.2">
      <c r="A19" t="s">
        <v>49</v>
      </c>
      <c r="B19" t="s">
        <v>50</v>
      </c>
      <c r="C19">
        <v>945000</v>
      </c>
      <c r="D19" s="20">
        <v>45031</v>
      </c>
      <c r="E19" s="20">
        <v>45031</v>
      </c>
      <c r="F19">
        <f t="shared" si="0"/>
        <v>0</v>
      </c>
      <c r="G19" t="str">
        <f t="shared" si="1"/>
        <v>NE</v>
      </c>
      <c r="H19" t="s">
        <v>81</v>
      </c>
      <c r="I19" t="s">
        <v>81</v>
      </c>
      <c r="K19" t="str">
        <f>IF(Scoring!$C19="Uhrazená",Scoring!$A19,"")</f>
        <v/>
      </c>
      <c r="L19" t="str">
        <f>IF(Scoring!$C19="Uhrazená",Scoring!$B19,"")</f>
        <v/>
      </c>
      <c r="M19" t="str">
        <f>IF(Scoring!$C19="Uhrazená",Scoring!$D19,"")</f>
        <v/>
      </c>
      <c r="N19" t="str">
        <f>IF(Scoring!$C19="Uhrazená",Scoring!$E19,"")</f>
        <v/>
      </c>
      <c r="O19" t="str">
        <f>IF(Scoring!$C19="Uhrazená",Scoring!$F19,"")</f>
        <v/>
      </c>
      <c r="P19" t="str">
        <f ca="1">IF(Scoring!$C19="Uhrazená",TODAY(),"")</f>
        <v/>
      </c>
    </row>
    <row r="20" spans="1:16" x14ac:dyDescent="0.2">
      <c r="A20" t="s">
        <v>56</v>
      </c>
      <c r="B20" t="s">
        <v>57</v>
      </c>
      <c r="C20">
        <v>900000</v>
      </c>
      <c r="D20" s="20">
        <v>44941</v>
      </c>
      <c r="E20" s="20">
        <v>44941</v>
      </c>
      <c r="F20">
        <f t="shared" si="0"/>
        <v>0</v>
      </c>
      <c r="G20" t="str">
        <f t="shared" si="1"/>
        <v>NE</v>
      </c>
      <c r="H20" t="s">
        <v>81</v>
      </c>
      <c r="I20" t="s">
        <v>81</v>
      </c>
      <c r="K20" t="str">
        <f>IF(Scoring!$C20="Uhrazená",Scoring!$A20,"")</f>
        <v/>
      </c>
      <c r="L20" t="str">
        <f>IF(Scoring!$C20="Uhrazená",Scoring!$B20,"")</f>
        <v/>
      </c>
      <c r="M20" t="str">
        <f>IF(Scoring!$C20="Uhrazená",Scoring!$D20,"")</f>
        <v/>
      </c>
      <c r="N20" t="str">
        <f>IF(Scoring!$C20="Uhrazená",Scoring!$E20,"")</f>
        <v/>
      </c>
      <c r="O20" t="str">
        <f>IF(Scoring!$C20="Uhrazená",Scoring!$F20,"")</f>
        <v/>
      </c>
      <c r="P20" t="str">
        <f ca="1">IF(Scoring!$C20="Uhrazená",TODAY(),"")</f>
        <v/>
      </c>
    </row>
    <row r="21" spans="1:16" x14ac:dyDescent="0.2">
      <c r="A21" t="s">
        <v>56</v>
      </c>
      <c r="B21" t="s">
        <v>57</v>
      </c>
      <c r="C21">
        <v>915000</v>
      </c>
      <c r="D21" s="20">
        <v>44971</v>
      </c>
      <c r="E21" s="20">
        <v>44976</v>
      </c>
      <c r="F21">
        <f t="shared" si="0"/>
        <v>5</v>
      </c>
      <c r="G21" t="str">
        <f t="shared" si="1"/>
        <v>ANO</v>
      </c>
      <c r="H21" t="s">
        <v>81</v>
      </c>
      <c r="I21" t="s">
        <v>81</v>
      </c>
      <c r="K21" t="str">
        <f>IF(Scoring!$C21="Uhrazená",Scoring!$A21,"")</f>
        <v/>
      </c>
      <c r="L21" t="str">
        <f>IF(Scoring!$C21="Uhrazená",Scoring!$B21,"")</f>
        <v/>
      </c>
      <c r="M21" t="str">
        <f>IF(Scoring!$C21="Uhrazená",Scoring!$D21,"")</f>
        <v/>
      </c>
      <c r="N21" t="str">
        <f>IF(Scoring!$C21="Uhrazená",Scoring!$E21,"")</f>
        <v/>
      </c>
      <c r="O21" t="str">
        <f>IF(Scoring!$C21="Uhrazená",Scoring!$F21,"")</f>
        <v/>
      </c>
      <c r="P21" t="str">
        <f ca="1">IF(Scoring!$C21="Uhrazená",TODAY(),"")</f>
        <v/>
      </c>
    </row>
    <row r="22" spans="1:16" x14ac:dyDescent="0.2">
      <c r="A22" t="s">
        <v>60</v>
      </c>
      <c r="B22" t="s">
        <v>61</v>
      </c>
      <c r="C22">
        <v>930000</v>
      </c>
      <c r="D22" s="20">
        <v>45732</v>
      </c>
      <c r="E22" s="20">
        <v>45737</v>
      </c>
      <c r="F22">
        <f t="shared" si="0"/>
        <v>5</v>
      </c>
      <c r="G22" t="str">
        <f t="shared" si="1"/>
        <v>ANO</v>
      </c>
      <c r="H22" t="s">
        <v>81</v>
      </c>
      <c r="I22" t="s">
        <v>81</v>
      </c>
      <c r="K22" t="str">
        <f>IF(Scoring!$C22="Uhrazená",Scoring!$A22,"")</f>
        <v/>
      </c>
      <c r="L22" t="str">
        <f>IF(Scoring!$C22="Uhrazená",Scoring!$B22,"")</f>
        <v/>
      </c>
      <c r="M22" t="str">
        <f>IF(Scoring!$C22="Uhrazená",Scoring!$D22,"")</f>
        <v/>
      </c>
      <c r="N22" t="str">
        <f>IF(Scoring!$C22="Uhrazená",Scoring!$E22,"")</f>
        <v/>
      </c>
      <c r="O22" t="str">
        <f>IF(Scoring!$C22="Uhrazená",Scoring!$F22,"")</f>
        <v/>
      </c>
      <c r="P22" t="str">
        <f ca="1">IF(Scoring!$C22="Uhrazená",TODAY(),"")</f>
        <v/>
      </c>
    </row>
    <row r="23" spans="1:16" x14ac:dyDescent="0.2">
      <c r="A23" t="s">
        <v>56</v>
      </c>
      <c r="B23" t="s">
        <v>57</v>
      </c>
      <c r="C23">
        <v>945000</v>
      </c>
      <c r="D23" s="20">
        <v>45031</v>
      </c>
      <c r="E23" s="20">
        <v>45031</v>
      </c>
      <c r="F23">
        <f t="shared" si="0"/>
        <v>0</v>
      </c>
      <c r="G23" t="str">
        <f t="shared" si="1"/>
        <v>NE</v>
      </c>
      <c r="H23" t="s">
        <v>81</v>
      </c>
      <c r="I23" t="s">
        <v>81</v>
      </c>
      <c r="K23" t="str">
        <f>IF(Scoring!$C23="Uhrazená",Scoring!$A23,"")</f>
        <v/>
      </c>
      <c r="L23" t="str">
        <f>IF(Scoring!$C23="Uhrazená",Scoring!$B23,"")</f>
        <v/>
      </c>
      <c r="M23" t="str">
        <f>IF(Scoring!$C23="Uhrazená",Scoring!$D23,"")</f>
        <v/>
      </c>
      <c r="N23" t="str">
        <f>IF(Scoring!$C23="Uhrazená",Scoring!$E23,"")</f>
        <v/>
      </c>
      <c r="O23" t="str">
        <f>IF(Scoring!$C23="Uhrazená",Scoring!$F23,"")</f>
        <v/>
      </c>
      <c r="P23" t="str">
        <f ca="1">IF(Scoring!$C23="Uhrazená",TODAY(),"")</f>
        <v/>
      </c>
    </row>
    <row r="24" spans="1:16" x14ac:dyDescent="0.2">
      <c r="A24" t="s">
        <v>56</v>
      </c>
      <c r="B24" t="s">
        <v>57</v>
      </c>
      <c r="C24">
        <v>960000</v>
      </c>
      <c r="D24" s="20">
        <v>45061</v>
      </c>
      <c r="E24" s="20">
        <v>45066</v>
      </c>
      <c r="F24">
        <f t="shared" si="0"/>
        <v>5</v>
      </c>
      <c r="G24" t="str">
        <f t="shared" si="1"/>
        <v>ANO</v>
      </c>
      <c r="H24" t="s">
        <v>81</v>
      </c>
      <c r="I24" t="s">
        <v>81</v>
      </c>
      <c r="K24" t="str">
        <f>IF(Scoring!$C24="Uhrazená",Scoring!$A24,"")</f>
        <v/>
      </c>
      <c r="L24" t="str">
        <f>IF(Scoring!$C24="Uhrazená",Scoring!$B24,"")</f>
        <v/>
      </c>
      <c r="M24" t="str">
        <f>IF(Scoring!$C24="Uhrazená",Scoring!$D24,"")</f>
        <v/>
      </c>
      <c r="N24" t="str">
        <f>IF(Scoring!$C24="Uhrazená",Scoring!$E24,"")</f>
        <v/>
      </c>
      <c r="O24" t="str">
        <f>IF(Scoring!$C24="Uhrazená",Scoring!$F24,"")</f>
        <v/>
      </c>
      <c r="P24" t="str">
        <f ca="1">IF(Scoring!$C24="Uhrazená",TODAY(),"")</f>
        <v/>
      </c>
    </row>
    <row r="25" spans="1:16" x14ac:dyDescent="0.2">
      <c r="A25" t="s">
        <v>63</v>
      </c>
      <c r="B25" t="s">
        <v>57</v>
      </c>
      <c r="C25">
        <v>975000</v>
      </c>
      <c r="D25" s="20">
        <v>45091</v>
      </c>
      <c r="E25" s="20">
        <v>45096</v>
      </c>
      <c r="F25">
        <f t="shared" si="0"/>
        <v>5</v>
      </c>
      <c r="G25" t="str">
        <f t="shared" si="1"/>
        <v>ANO</v>
      </c>
      <c r="H25" t="s">
        <v>81</v>
      </c>
      <c r="I25" t="s">
        <v>81</v>
      </c>
      <c r="K25" t="str">
        <f>IF(Scoring!$C25="Uhrazená",Scoring!$A25,"")</f>
        <v/>
      </c>
      <c r="L25" t="str">
        <f>IF(Scoring!$C25="Uhrazená",Scoring!$B25,"")</f>
        <v/>
      </c>
      <c r="M25" t="str">
        <f>IF(Scoring!$C25="Uhrazená",Scoring!$D25,"")</f>
        <v/>
      </c>
      <c r="N25" t="str">
        <f>IF(Scoring!$C25="Uhrazená",Scoring!$E25,"")</f>
        <v/>
      </c>
      <c r="O25" t="str">
        <f>IF(Scoring!$C25="Uhrazená",Scoring!$F25,"")</f>
        <v/>
      </c>
      <c r="P25" t="str">
        <f ca="1">IF(Scoring!$C25="Uhrazená",TODAY(),"")</f>
        <v/>
      </c>
    </row>
    <row r="26" spans="1:16" x14ac:dyDescent="0.2">
      <c r="A26" t="s">
        <v>56</v>
      </c>
      <c r="B26" t="s">
        <v>57</v>
      </c>
      <c r="C26">
        <v>990000</v>
      </c>
      <c r="D26" s="20">
        <v>45121</v>
      </c>
      <c r="E26" s="20">
        <v>45121</v>
      </c>
      <c r="F26">
        <f t="shared" si="0"/>
        <v>0</v>
      </c>
      <c r="G26" t="str">
        <f t="shared" si="1"/>
        <v>NE</v>
      </c>
      <c r="H26" t="s">
        <v>81</v>
      </c>
      <c r="I26" t="s">
        <v>81</v>
      </c>
      <c r="K26" t="str">
        <f>IF(Scoring!$C26="Uhrazená",Scoring!$A26,"")</f>
        <v/>
      </c>
      <c r="L26" t="str">
        <f>IF(Scoring!$C26="Uhrazená",Scoring!$B26,"")</f>
        <v/>
      </c>
      <c r="M26" t="str">
        <f>IF(Scoring!$C26="Uhrazená",Scoring!$D26,"")</f>
        <v/>
      </c>
      <c r="N26" t="str">
        <f>IF(Scoring!$C26="Uhrazená",Scoring!$E26,"")</f>
        <v/>
      </c>
      <c r="O26" t="str">
        <f>IF(Scoring!$C26="Uhrazená",Scoring!$F26,"")</f>
        <v/>
      </c>
      <c r="P26" t="str">
        <f ca="1">IF(Scoring!$C26="Uhrazená",TODAY(),"")</f>
        <v/>
      </c>
    </row>
    <row r="27" spans="1:16" x14ac:dyDescent="0.2">
      <c r="A27" t="s">
        <v>56</v>
      </c>
      <c r="B27" t="s">
        <v>57</v>
      </c>
      <c r="C27">
        <v>1005000</v>
      </c>
      <c r="D27" s="20">
        <v>45151</v>
      </c>
      <c r="E27" s="20">
        <v>45156</v>
      </c>
      <c r="F27">
        <f t="shared" si="0"/>
        <v>5</v>
      </c>
      <c r="G27" t="str">
        <f t="shared" si="1"/>
        <v>ANO</v>
      </c>
      <c r="H27" t="s">
        <v>81</v>
      </c>
      <c r="I27" t="s">
        <v>81</v>
      </c>
      <c r="K27" t="str">
        <f>IF(Scoring!$C27="Uhrazená",Scoring!$A27,"")</f>
        <v/>
      </c>
      <c r="L27" t="str">
        <f>IF(Scoring!$C27="Uhrazená",Scoring!$B27,"")</f>
        <v/>
      </c>
      <c r="M27" t="str">
        <f>IF(Scoring!$C27="Uhrazená",Scoring!$D27,"")</f>
        <v/>
      </c>
      <c r="N27" t="str">
        <f>IF(Scoring!$C27="Uhrazená",Scoring!$E27,"")</f>
        <v/>
      </c>
      <c r="O27" t="str">
        <f>IF(Scoring!$C27="Uhrazená",Scoring!$F27,"")</f>
        <v/>
      </c>
      <c r="P27" t="str">
        <f ca="1">IF(Scoring!$C27="Uhrazená",TODAY(),"")</f>
        <v/>
      </c>
    </row>
    <row r="28" spans="1:16" x14ac:dyDescent="0.2">
      <c r="A28" t="s">
        <v>56</v>
      </c>
      <c r="B28" t="s">
        <v>57</v>
      </c>
      <c r="C28">
        <v>1020000</v>
      </c>
      <c r="D28" s="20">
        <v>45181</v>
      </c>
      <c r="E28" s="20">
        <v>45186</v>
      </c>
      <c r="F28">
        <f t="shared" si="0"/>
        <v>5</v>
      </c>
      <c r="G28" t="str">
        <f t="shared" si="1"/>
        <v>ANO</v>
      </c>
      <c r="H28" t="s">
        <v>81</v>
      </c>
      <c r="I28" t="s">
        <v>81</v>
      </c>
      <c r="K28" t="str">
        <f>IF(Scoring!$C28="Uhrazená",Scoring!$A28,"")</f>
        <v/>
      </c>
      <c r="L28" t="str">
        <f>IF(Scoring!$C28="Uhrazená",Scoring!$B28,"")</f>
        <v/>
      </c>
      <c r="M28" t="str">
        <f>IF(Scoring!$C28="Uhrazená",Scoring!$D28,"")</f>
        <v/>
      </c>
      <c r="N28" t="str">
        <f>IF(Scoring!$C28="Uhrazená",Scoring!$E28,"")</f>
        <v/>
      </c>
      <c r="O28" t="str">
        <f>IF(Scoring!$C28="Uhrazená",Scoring!$F28,"")</f>
        <v/>
      </c>
      <c r="P28" t="str">
        <f ca="1">IF(Scoring!$C28="Uhrazená",TODAY(),"")</f>
        <v/>
      </c>
    </row>
    <row r="29" spans="1:16" x14ac:dyDescent="0.2">
      <c r="A29" t="s">
        <v>56</v>
      </c>
      <c r="B29" t="s">
        <v>57</v>
      </c>
      <c r="C29">
        <v>1035000</v>
      </c>
      <c r="D29" s="20">
        <v>45211</v>
      </c>
      <c r="E29" s="20">
        <v>45211</v>
      </c>
      <c r="F29">
        <f t="shared" si="0"/>
        <v>0</v>
      </c>
      <c r="G29" t="str">
        <f t="shared" si="1"/>
        <v>NE</v>
      </c>
      <c r="H29" t="s">
        <v>81</v>
      </c>
      <c r="I29" t="s">
        <v>81</v>
      </c>
      <c r="K29" t="str">
        <f>IF(Scoring!$C29="Uhrazená",Scoring!$A29,"")</f>
        <v/>
      </c>
      <c r="L29" t="str">
        <f>IF(Scoring!$C29="Uhrazená",Scoring!$B29,"")</f>
        <v/>
      </c>
      <c r="M29" t="str">
        <f>IF(Scoring!$C29="Uhrazená",Scoring!$D29,"")</f>
        <v/>
      </c>
      <c r="N29" t="str">
        <f>IF(Scoring!$C29="Uhrazená",Scoring!$E29,"")</f>
        <v/>
      </c>
      <c r="O29" t="str">
        <f>IF(Scoring!$C29="Uhrazená",Scoring!$F29,"")</f>
        <v/>
      </c>
      <c r="P29" t="str">
        <f ca="1">IF(Scoring!$C29="Uhrazená",TODAY(),"")</f>
        <v/>
      </c>
    </row>
    <row r="30" spans="1:16" x14ac:dyDescent="0.2">
      <c r="A30" t="s">
        <v>56</v>
      </c>
      <c r="B30" t="s">
        <v>57</v>
      </c>
      <c r="C30">
        <v>1050000</v>
      </c>
      <c r="D30" s="20">
        <v>45241</v>
      </c>
      <c r="E30" s="20">
        <v>45246</v>
      </c>
      <c r="F30">
        <f t="shared" si="0"/>
        <v>5</v>
      </c>
      <c r="G30" t="str">
        <f t="shared" si="1"/>
        <v>ANO</v>
      </c>
      <c r="H30" t="s">
        <v>81</v>
      </c>
      <c r="I30" t="s">
        <v>81</v>
      </c>
      <c r="K30" t="str">
        <f>IF(Scoring!$C30="Uhrazená",Scoring!$A30,"")</f>
        <v/>
      </c>
      <c r="L30" t="str">
        <f>IF(Scoring!$C30="Uhrazená",Scoring!$B30,"")</f>
        <v/>
      </c>
      <c r="M30" t="str">
        <f>IF(Scoring!$C30="Uhrazená",Scoring!$D30,"")</f>
        <v/>
      </c>
      <c r="N30" t="str">
        <f>IF(Scoring!$C30="Uhrazená",Scoring!$E30,"")</f>
        <v/>
      </c>
      <c r="O30" t="str">
        <f>IF(Scoring!$C30="Uhrazená",Scoring!$F30,"")</f>
        <v/>
      </c>
      <c r="P30" t="str">
        <f ca="1">IF(Scoring!$C30="Uhrazená",TODAY(),"")</f>
        <v/>
      </c>
    </row>
    <row r="31" spans="1:16" x14ac:dyDescent="0.2">
      <c r="A31" t="s">
        <v>56</v>
      </c>
      <c r="B31" t="s">
        <v>57</v>
      </c>
      <c r="C31">
        <v>1065000</v>
      </c>
      <c r="D31" s="20">
        <v>45271</v>
      </c>
      <c r="E31" s="20">
        <v>45276</v>
      </c>
      <c r="F31">
        <f t="shared" si="0"/>
        <v>5</v>
      </c>
      <c r="G31" t="str">
        <f t="shared" si="1"/>
        <v>ANO</v>
      </c>
      <c r="H31" t="s">
        <v>81</v>
      </c>
      <c r="I31" t="s">
        <v>81</v>
      </c>
      <c r="K31" t="str">
        <f>IF(Scoring!$C31="Uhrazená",Scoring!$A31,"")</f>
        <v/>
      </c>
      <c r="L31" t="str">
        <f>IF(Scoring!$C31="Uhrazená",Scoring!$B31,"")</f>
        <v/>
      </c>
      <c r="M31" t="str">
        <f>IF(Scoring!$C31="Uhrazená",Scoring!$D31,"")</f>
        <v/>
      </c>
      <c r="N31" t="str">
        <f>IF(Scoring!$C31="Uhrazená",Scoring!$E31,"")</f>
        <v/>
      </c>
      <c r="O31" t="str">
        <f>IF(Scoring!$C31="Uhrazená",Scoring!$F31,"")</f>
        <v/>
      </c>
      <c r="P31" t="str">
        <f ca="1">IF(Scoring!$C31="Uhrazená",TODAY(),"")</f>
        <v/>
      </c>
    </row>
    <row r="32" spans="1:16" x14ac:dyDescent="0.2">
      <c r="A32" t="s">
        <v>56</v>
      </c>
      <c r="B32" t="s">
        <v>57</v>
      </c>
      <c r="C32">
        <v>1080000</v>
      </c>
      <c r="D32" s="20">
        <v>45301</v>
      </c>
      <c r="E32" s="20">
        <v>45301</v>
      </c>
      <c r="F32">
        <f t="shared" si="0"/>
        <v>0</v>
      </c>
      <c r="G32" t="str">
        <f t="shared" si="1"/>
        <v>NE</v>
      </c>
      <c r="H32" t="s">
        <v>81</v>
      </c>
      <c r="I32" t="s">
        <v>81</v>
      </c>
      <c r="K32" t="str">
        <f>IF(Scoring!$C32="Uhrazená",Scoring!$A32,"")</f>
        <v/>
      </c>
      <c r="L32" t="str">
        <f>IF(Scoring!$C32="Uhrazená",Scoring!$B32,"")</f>
        <v/>
      </c>
      <c r="M32" t="str">
        <f>IF(Scoring!$C32="Uhrazená",Scoring!$D32,"")</f>
        <v/>
      </c>
      <c r="N32" t="str">
        <f>IF(Scoring!$C32="Uhrazená",Scoring!$E32,"")</f>
        <v/>
      </c>
      <c r="O32" t="str">
        <f>IF(Scoring!$C32="Uhrazená",Scoring!$F32,"")</f>
        <v/>
      </c>
      <c r="P32" t="str">
        <f ca="1">IF(Scoring!$C32="Uhrazená",TODAY(),"")</f>
        <v/>
      </c>
    </row>
    <row r="33" spans="1:16" x14ac:dyDescent="0.2">
      <c r="A33" t="s">
        <v>56</v>
      </c>
      <c r="B33" t="s">
        <v>57</v>
      </c>
      <c r="C33">
        <v>1095000</v>
      </c>
      <c r="D33" s="20">
        <v>45331</v>
      </c>
      <c r="E33" s="20">
        <v>45336</v>
      </c>
      <c r="F33">
        <f t="shared" si="0"/>
        <v>5</v>
      </c>
      <c r="G33" t="str">
        <f t="shared" si="1"/>
        <v>ANO</v>
      </c>
      <c r="H33" t="s">
        <v>81</v>
      </c>
      <c r="I33" t="s">
        <v>81</v>
      </c>
      <c r="K33" t="str">
        <f>IF(Scoring!$C33="Uhrazená",Scoring!$A33,"")</f>
        <v/>
      </c>
      <c r="L33" t="str">
        <f>IF(Scoring!$C33="Uhrazená",Scoring!$B33,"")</f>
        <v/>
      </c>
      <c r="M33" t="str">
        <f>IF(Scoring!$C33="Uhrazená",Scoring!$D33,"")</f>
        <v/>
      </c>
      <c r="N33" t="str">
        <f>IF(Scoring!$C33="Uhrazená",Scoring!$E33,"")</f>
        <v/>
      </c>
      <c r="O33" t="str">
        <f>IF(Scoring!$C33="Uhrazená",Scoring!$F33,"")</f>
        <v/>
      </c>
      <c r="P33" t="str">
        <f ca="1">IF(Scoring!$C33="Uhrazená",TODAY(),"")</f>
        <v/>
      </c>
    </row>
    <row r="34" spans="1:16" x14ac:dyDescent="0.2">
      <c r="A34" t="s">
        <v>60</v>
      </c>
      <c r="B34" t="s">
        <v>57</v>
      </c>
      <c r="C34">
        <v>2000000</v>
      </c>
      <c r="D34" s="20">
        <v>45331</v>
      </c>
      <c r="E34" s="20">
        <v>45330</v>
      </c>
      <c r="F34">
        <f t="shared" si="0"/>
        <v>-1</v>
      </c>
      <c r="G34" t="str">
        <f t="shared" si="1"/>
        <v>NE</v>
      </c>
      <c r="H34" t="s">
        <v>81</v>
      </c>
      <c r="I34" t="s">
        <v>81</v>
      </c>
      <c r="K34" t="str">
        <f>IF(Scoring!$C34="Uhrazená",Scoring!$A34,"")</f>
        <v/>
      </c>
      <c r="L34" t="str">
        <f>IF(Scoring!$C34="Uhrazená",Scoring!$B34,"")</f>
        <v/>
      </c>
      <c r="M34" t="str">
        <f>IF(Scoring!$C34="Uhrazená",Scoring!$D34,"")</f>
        <v/>
      </c>
      <c r="N34" t="str">
        <f>IF(Scoring!$C34="Uhrazená",Scoring!$E34,"")</f>
        <v/>
      </c>
      <c r="O34" t="str">
        <f>IF(Scoring!$C34="Uhrazená",Scoring!$F34,"")</f>
        <v/>
      </c>
      <c r="P34" t="str">
        <f ca="1">IF(Scoring!$C34="Uhrazená",TODAY(),"")</f>
        <v/>
      </c>
    </row>
    <row r="35" spans="1:16" x14ac:dyDescent="0.2">
      <c r="A35" t="s">
        <v>60</v>
      </c>
      <c r="B35" t="s">
        <v>57</v>
      </c>
      <c r="C35">
        <v>2000000</v>
      </c>
      <c r="D35" s="20">
        <v>45331</v>
      </c>
      <c r="E35" s="20">
        <v>45330</v>
      </c>
      <c r="F35">
        <f t="shared" si="0"/>
        <v>-1</v>
      </c>
      <c r="G35" t="str">
        <f t="shared" si="1"/>
        <v>NE</v>
      </c>
      <c r="H35" t="s">
        <v>81</v>
      </c>
      <c r="I35" t="s">
        <v>81</v>
      </c>
      <c r="K35" t="str">
        <f>IF(Scoring!$C35="Uhrazená",Scoring!$A35,"")</f>
        <v/>
      </c>
      <c r="L35" t="str">
        <f>IF(Scoring!$C35="Uhrazená",Scoring!$B35,"")</f>
        <v/>
      </c>
      <c r="M35" t="str">
        <f>IF(Scoring!$C35="Uhrazená",Scoring!$D35,"")</f>
        <v/>
      </c>
      <c r="N35" t="str">
        <f>IF(Scoring!$C35="Uhrazená",Scoring!$E35,"")</f>
        <v/>
      </c>
      <c r="O35" t="str">
        <f>IF(Scoring!$C35="Uhrazená",Scoring!$F35,"")</f>
        <v/>
      </c>
      <c r="P35" t="str">
        <f ca="1">IF(Scoring!$C35="Uhrazená",TODAY(),"")</f>
        <v/>
      </c>
    </row>
    <row r="36" spans="1:16" x14ac:dyDescent="0.2">
      <c r="A36" t="s">
        <v>60</v>
      </c>
      <c r="B36" t="s">
        <v>57</v>
      </c>
      <c r="C36">
        <v>2000000</v>
      </c>
      <c r="D36" s="20">
        <v>45331</v>
      </c>
      <c r="E36" s="20">
        <v>45330</v>
      </c>
      <c r="F36">
        <f t="shared" si="0"/>
        <v>-1</v>
      </c>
      <c r="G36" t="str">
        <f t="shared" si="1"/>
        <v>NE</v>
      </c>
      <c r="H36" t="s">
        <v>81</v>
      </c>
      <c r="I36" t="s">
        <v>81</v>
      </c>
      <c r="K36" t="str">
        <f>IF(Scoring!$C36="Uhrazená",Scoring!$A36,"")</f>
        <v/>
      </c>
      <c r="L36" t="str">
        <f>IF(Scoring!$C36="Uhrazená",Scoring!$B36,"")</f>
        <v/>
      </c>
      <c r="M36" t="str">
        <f>IF(Scoring!$C36="Uhrazená",Scoring!$D36,"")</f>
        <v/>
      </c>
      <c r="N36" t="str">
        <f>IF(Scoring!$C36="Uhrazená",Scoring!$E36,"")</f>
        <v/>
      </c>
      <c r="O36" t="str">
        <f>IF(Scoring!$C36="Uhrazená",Scoring!$F36,"")</f>
        <v/>
      </c>
      <c r="P36" t="str">
        <f ca="1">IF(Scoring!$C36="Uhrazená",TODAY(),"")</f>
        <v/>
      </c>
    </row>
    <row r="37" spans="1:16" x14ac:dyDescent="0.2">
      <c r="A37" t="s">
        <v>60</v>
      </c>
      <c r="B37" t="s">
        <v>57</v>
      </c>
      <c r="C37">
        <v>2000000</v>
      </c>
      <c r="D37" s="20">
        <v>45331</v>
      </c>
      <c r="E37" s="20">
        <v>45330</v>
      </c>
      <c r="F37">
        <f t="shared" si="0"/>
        <v>-1</v>
      </c>
      <c r="G37" t="str">
        <f t="shared" si="1"/>
        <v>NE</v>
      </c>
      <c r="H37" t="s">
        <v>81</v>
      </c>
      <c r="I37" t="s">
        <v>81</v>
      </c>
      <c r="K37" t="str">
        <f>IF(Scoring!$C37="Uhrazená",Scoring!$A37,"")</f>
        <v/>
      </c>
      <c r="L37" t="str">
        <f>IF(Scoring!$C37="Uhrazená",Scoring!$B37,"")</f>
        <v/>
      </c>
      <c r="M37" t="str">
        <f>IF(Scoring!$C37="Uhrazená",Scoring!$D37,"")</f>
        <v/>
      </c>
      <c r="N37" t="str">
        <f>IF(Scoring!$C37="Uhrazená",Scoring!$E37,"")</f>
        <v/>
      </c>
      <c r="O37" t="str">
        <f>IF(Scoring!$C37="Uhrazená",Scoring!$F37,"")</f>
        <v/>
      </c>
      <c r="P37" t="str">
        <f ca="1">IF(Scoring!$C37="Uhrazená",TODAY(),"")</f>
        <v/>
      </c>
    </row>
    <row r="38" spans="1:16" x14ac:dyDescent="0.2">
      <c r="A38" t="s">
        <v>60</v>
      </c>
      <c r="B38" t="s">
        <v>57</v>
      </c>
      <c r="C38">
        <v>2000000</v>
      </c>
      <c r="D38" s="20">
        <v>45331</v>
      </c>
      <c r="E38" s="20">
        <v>45330</v>
      </c>
      <c r="F38">
        <f t="shared" si="0"/>
        <v>-1</v>
      </c>
      <c r="G38" t="str">
        <f t="shared" si="1"/>
        <v>NE</v>
      </c>
      <c r="H38" t="s">
        <v>81</v>
      </c>
      <c r="I38" t="s">
        <v>81</v>
      </c>
      <c r="K38" t="str">
        <f>IF(Scoring!$C38="Uhrazená",Scoring!$A38,"")</f>
        <v/>
      </c>
      <c r="L38" t="str">
        <f>IF(Scoring!$C38="Uhrazená",Scoring!$B38,"")</f>
        <v/>
      </c>
      <c r="M38" t="str">
        <f>IF(Scoring!$C38="Uhrazená",Scoring!$D38,"")</f>
        <v/>
      </c>
      <c r="N38" t="str">
        <f>IF(Scoring!$C38="Uhrazená",Scoring!$E38,"")</f>
        <v/>
      </c>
      <c r="O38" t="str">
        <f>IF(Scoring!$C38="Uhrazená",Scoring!$F38,"")</f>
        <v/>
      </c>
      <c r="P38" t="str">
        <f ca="1">IF(Scoring!$C38="Uhrazená",TODAY(),"")</f>
        <v/>
      </c>
    </row>
    <row r="39" spans="1:16" x14ac:dyDescent="0.2">
      <c r="A39" t="s">
        <v>60</v>
      </c>
      <c r="B39" t="s">
        <v>57</v>
      </c>
      <c r="C39">
        <v>2000000</v>
      </c>
      <c r="D39" s="20">
        <v>45331</v>
      </c>
      <c r="E39" s="20">
        <v>45330</v>
      </c>
      <c r="F39">
        <f t="shared" si="0"/>
        <v>-1</v>
      </c>
      <c r="G39" t="str">
        <f t="shared" si="1"/>
        <v>NE</v>
      </c>
      <c r="H39" t="s">
        <v>81</v>
      </c>
      <c r="I39" t="s">
        <v>81</v>
      </c>
      <c r="K39" t="str">
        <f>IF(Scoring!$C39="Uhrazená",Scoring!$A39,"")</f>
        <v/>
      </c>
      <c r="L39" t="str">
        <f>IF(Scoring!$C39="Uhrazená",Scoring!$B39,"")</f>
        <v/>
      </c>
      <c r="M39" t="str">
        <f>IF(Scoring!$C39="Uhrazená",Scoring!$D39,"")</f>
        <v/>
      </c>
      <c r="N39" t="str">
        <f>IF(Scoring!$C39="Uhrazená",Scoring!$E39,"")</f>
        <v/>
      </c>
      <c r="O39" t="str">
        <f>IF(Scoring!$C39="Uhrazená",Scoring!$F39,"")</f>
        <v/>
      </c>
      <c r="P39" t="str">
        <f ca="1">IF(Scoring!$C39="Uhrazená",TODAY(),"")</f>
        <v/>
      </c>
    </row>
    <row r="40" spans="1:16" x14ac:dyDescent="0.2">
      <c r="F40" t="str">
        <f t="shared" si="0"/>
        <v/>
      </c>
      <c r="G40" t="str">
        <f t="shared" si="1"/>
        <v/>
      </c>
      <c r="K40" t="str">
        <f>IF(Scoring!$C40="Uhrazená",Scoring!$A40,"")</f>
        <v/>
      </c>
      <c r="L40" t="str">
        <f>IF(Scoring!$C40="Uhrazená",Scoring!$B40,"")</f>
        <v/>
      </c>
      <c r="M40" t="str">
        <f>IF(Scoring!$C40="Uhrazená",Scoring!$D40,"")</f>
        <v/>
      </c>
      <c r="N40" t="str">
        <f>IF(Scoring!$C40="Uhrazená",Scoring!$E40,"")</f>
        <v/>
      </c>
      <c r="O40" t="str">
        <f>IF(Scoring!$C40="Uhrazená",Scoring!$F40,"")</f>
        <v/>
      </c>
      <c r="P40" t="str">
        <f ca="1">IF(Scoring!$C40="Uhrazená",TODAY(),"")</f>
        <v/>
      </c>
    </row>
    <row r="41" spans="1:16" x14ac:dyDescent="0.2">
      <c r="F41" t="str">
        <f t="shared" si="0"/>
        <v/>
      </c>
      <c r="G41" t="str">
        <f t="shared" si="1"/>
        <v/>
      </c>
      <c r="K41" t="str">
        <f>IF(Scoring!$C41="Uhrazená",Scoring!$A41,"")</f>
        <v/>
      </c>
      <c r="L41" t="str">
        <f>IF(Scoring!$C41="Uhrazená",Scoring!$B41,"")</f>
        <v/>
      </c>
      <c r="M41" t="str">
        <f>IF(Scoring!$C41="Uhrazená",Scoring!$D41,"")</f>
        <v/>
      </c>
      <c r="N41" t="str">
        <f>IF(Scoring!$C41="Uhrazená",Scoring!$E41,"")</f>
        <v/>
      </c>
      <c r="O41" t="str">
        <f>IF(Scoring!$C41="Uhrazená",Scoring!$F41,"")</f>
        <v/>
      </c>
      <c r="P41" t="str">
        <f ca="1">IF(Scoring!$C41="Uhrazená",TODAY(),"")</f>
        <v/>
      </c>
    </row>
    <row r="42" spans="1:16" x14ac:dyDescent="0.2">
      <c r="F42" t="str">
        <f t="shared" si="0"/>
        <v/>
      </c>
      <c r="G42" t="str">
        <f t="shared" si="1"/>
        <v/>
      </c>
      <c r="K42" t="str">
        <f>IF(Scoring!$C42="Uhrazená",Scoring!$A42,"")</f>
        <v/>
      </c>
      <c r="L42" t="str">
        <f>IF(Scoring!$C42="Uhrazená",Scoring!$B42,"")</f>
        <v/>
      </c>
      <c r="M42" t="str">
        <f>IF(Scoring!$C42="Uhrazená",Scoring!$D42,"")</f>
        <v/>
      </c>
      <c r="N42" t="str">
        <f>IF(Scoring!$C42="Uhrazená",Scoring!$E42,"")</f>
        <v/>
      </c>
      <c r="O42" t="str">
        <f>IF(Scoring!$C42="Uhrazená",Scoring!$F42,"")</f>
        <v/>
      </c>
      <c r="P42" t="str">
        <f ca="1">IF(Scoring!$C42="Uhrazená",TODAY(),"")</f>
        <v/>
      </c>
    </row>
    <row r="43" spans="1:16" x14ac:dyDescent="0.2">
      <c r="F43" t="str">
        <f t="shared" si="0"/>
        <v/>
      </c>
      <c r="G43" t="str">
        <f t="shared" si="1"/>
        <v/>
      </c>
      <c r="K43" t="str">
        <f>IF(Scoring!$C43="Uhrazená",Scoring!$A43,"")</f>
        <v/>
      </c>
      <c r="L43" t="str">
        <f>IF(Scoring!$C43="Uhrazená",Scoring!$B43,"")</f>
        <v/>
      </c>
      <c r="M43" t="str">
        <f>IF(Scoring!$C43="Uhrazená",Scoring!$D43,"")</f>
        <v/>
      </c>
      <c r="N43" t="str">
        <f>IF(Scoring!$C43="Uhrazená",Scoring!$E43,"")</f>
        <v/>
      </c>
      <c r="O43" t="str">
        <f>IF(Scoring!$C43="Uhrazená",Scoring!$F43,"")</f>
        <v/>
      </c>
      <c r="P43" t="str">
        <f ca="1">IF(Scoring!$C43="Uhrazená",TODAY(),"")</f>
        <v/>
      </c>
    </row>
    <row r="44" spans="1:16" x14ac:dyDescent="0.2">
      <c r="F44" t="str">
        <f t="shared" si="0"/>
        <v/>
      </c>
      <c r="G44" t="str">
        <f t="shared" si="1"/>
        <v/>
      </c>
      <c r="K44" t="str">
        <f>IF(Scoring!$C44="Uhrazená",Scoring!$A44,"")</f>
        <v/>
      </c>
      <c r="L44" t="str">
        <f>IF(Scoring!$C44="Uhrazená",Scoring!$B44,"")</f>
        <v/>
      </c>
      <c r="M44" t="str">
        <f>IF(Scoring!$C44="Uhrazená",Scoring!$D44,"")</f>
        <v/>
      </c>
      <c r="N44" t="str">
        <f>IF(Scoring!$C44="Uhrazená",Scoring!$E44,"")</f>
        <v/>
      </c>
      <c r="O44" t="str">
        <f>IF(Scoring!$C44="Uhrazená",Scoring!$F44,"")</f>
        <v/>
      </c>
      <c r="P44" t="str">
        <f ca="1">IF(Scoring!$C44="Uhrazená",TODAY(),"")</f>
        <v/>
      </c>
    </row>
    <row r="45" spans="1:16" x14ac:dyDescent="0.2">
      <c r="F45" t="str">
        <f t="shared" si="0"/>
        <v/>
      </c>
      <c r="G45" t="str">
        <f t="shared" si="1"/>
        <v/>
      </c>
      <c r="K45" t="str">
        <f>IF(Scoring!$C45="Uhrazená",Scoring!$A45,"")</f>
        <v/>
      </c>
      <c r="L45" t="str">
        <f>IF(Scoring!$C45="Uhrazená",Scoring!$B45,"")</f>
        <v/>
      </c>
      <c r="M45" t="str">
        <f>IF(Scoring!$C45="Uhrazená",Scoring!$D45,"")</f>
        <v/>
      </c>
      <c r="N45" t="str">
        <f>IF(Scoring!$C45="Uhrazená",Scoring!$E45,"")</f>
        <v/>
      </c>
      <c r="O45" t="str">
        <f>IF(Scoring!$C45="Uhrazená",Scoring!$F45,"")</f>
        <v/>
      </c>
      <c r="P45" t="str">
        <f ca="1">IF(Scoring!$C45="Uhrazená",TODAY(),"")</f>
        <v/>
      </c>
    </row>
    <row r="46" spans="1:16" x14ac:dyDescent="0.2">
      <c r="F46" t="str">
        <f t="shared" si="0"/>
        <v/>
      </c>
      <c r="G46" t="str">
        <f t="shared" si="1"/>
        <v/>
      </c>
    </row>
    <row r="47" spans="1:16" x14ac:dyDescent="0.2">
      <c r="F47" t="str">
        <f t="shared" si="0"/>
        <v/>
      </c>
      <c r="G47" t="str">
        <f t="shared" si="1"/>
        <v/>
      </c>
    </row>
    <row r="48" spans="1:16" x14ac:dyDescent="0.2">
      <c r="F48" t="str">
        <f t="shared" si="0"/>
        <v/>
      </c>
      <c r="G48" t="str">
        <f t="shared" si="1"/>
        <v/>
      </c>
    </row>
    <row r="49" spans="6:7" x14ac:dyDescent="0.2">
      <c r="F49" t="str">
        <f t="shared" si="0"/>
        <v/>
      </c>
      <c r="G49" t="str">
        <f t="shared" si="1"/>
        <v/>
      </c>
    </row>
    <row r="50" spans="6:7" x14ac:dyDescent="0.2">
      <c r="F50" t="str">
        <f t="shared" si="0"/>
        <v/>
      </c>
      <c r="G50" t="str">
        <f t="shared" si="1"/>
        <v/>
      </c>
    </row>
    <row r="51" spans="6:7" x14ac:dyDescent="0.2">
      <c r="F51" t="str">
        <f t="shared" si="0"/>
        <v/>
      </c>
      <c r="G51" t="str">
        <f t="shared" si="1"/>
        <v/>
      </c>
    </row>
    <row r="52" spans="6:7" x14ac:dyDescent="0.2">
      <c r="F52" t="str">
        <f t="shared" si="0"/>
        <v/>
      </c>
      <c r="G52" t="str">
        <f t="shared" si="1"/>
        <v/>
      </c>
    </row>
    <row r="53" spans="6:7" x14ac:dyDescent="0.2">
      <c r="F53" t="str">
        <f t="shared" si="0"/>
        <v/>
      </c>
      <c r="G53" t="str">
        <f t="shared" si="1"/>
        <v/>
      </c>
    </row>
    <row r="54" spans="6:7" x14ac:dyDescent="0.2">
      <c r="F54" t="str">
        <f t="shared" si="0"/>
        <v/>
      </c>
      <c r="G54" t="str">
        <f t="shared" si="1"/>
        <v/>
      </c>
    </row>
    <row r="55" spans="6:7" x14ac:dyDescent="0.2">
      <c r="F55" t="str">
        <f t="shared" si="0"/>
        <v/>
      </c>
      <c r="G55" t="str">
        <f t="shared" si="1"/>
        <v/>
      </c>
    </row>
    <row r="56" spans="6:7" x14ac:dyDescent="0.2">
      <c r="F56" t="str">
        <f t="shared" si="0"/>
        <v/>
      </c>
      <c r="G56" t="str">
        <f t="shared" si="1"/>
        <v/>
      </c>
    </row>
    <row r="57" spans="6:7" x14ac:dyDescent="0.2">
      <c r="F57" t="str">
        <f t="shared" si="0"/>
        <v/>
      </c>
      <c r="G57" t="str">
        <f t="shared" si="1"/>
        <v/>
      </c>
    </row>
    <row r="58" spans="6:7" x14ac:dyDescent="0.2">
      <c r="F58" t="str">
        <f t="shared" si="0"/>
        <v/>
      </c>
      <c r="G58" t="str">
        <f t="shared" si="1"/>
        <v/>
      </c>
    </row>
    <row r="59" spans="6:7" x14ac:dyDescent="0.2">
      <c r="F59" t="str">
        <f t="shared" si="0"/>
        <v/>
      </c>
      <c r="G59" t="str">
        <f t="shared" si="1"/>
        <v/>
      </c>
    </row>
    <row r="60" spans="6:7" x14ac:dyDescent="0.2">
      <c r="F60" t="str">
        <f t="shared" si="0"/>
        <v/>
      </c>
      <c r="G60" t="str">
        <f t="shared" si="1"/>
        <v/>
      </c>
    </row>
    <row r="61" spans="6:7" x14ac:dyDescent="0.2">
      <c r="F61" t="str">
        <f t="shared" si="0"/>
        <v/>
      </c>
      <c r="G61" t="str">
        <f t="shared" si="1"/>
        <v/>
      </c>
    </row>
    <row r="62" spans="6:7" x14ac:dyDescent="0.2">
      <c r="F62" t="str">
        <f t="shared" si="0"/>
        <v/>
      </c>
      <c r="G62" t="str">
        <f t="shared" si="1"/>
        <v/>
      </c>
    </row>
    <row r="63" spans="6:7" x14ac:dyDescent="0.2">
      <c r="F63" t="str">
        <f t="shared" si="0"/>
        <v/>
      </c>
      <c r="G63" t="str">
        <f t="shared" si="1"/>
        <v/>
      </c>
    </row>
    <row r="64" spans="6:7" x14ac:dyDescent="0.2">
      <c r="F64" t="str">
        <f t="shared" si="0"/>
        <v/>
      </c>
      <c r="G64" t="str">
        <f t="shared" si="1"/>
        <v/>
      </c>
    </row>
    <row r="65" spans="6:7" x14ac:dyDescent="0.2">
      <c r="F65" t="str">
        <f t="shared" si="0"/>
        <v/>
      </c>
      <c r="G65" t="str">
        <f t="shared" si="1"/>
        <v/>
      </c>
    </row>
    <row r="66" spans="6:7" x14ac:dyDescent="0.2">
      <c r="F66" t="str">
        <f t="shared" ref="F66:F129" si="2">IF(OR(D66="",E66=""),"",E66-D66)</f>
        <v/>
      </c>
      <c r="G66" t="str">
        <f t="shared" ref="G66:G129" si="3">IF(F66="","",IF(F66&gt;0,"ANO","NE"))</f>
        <v/>
      </c>
    </row>
    <row r="67" spans="6:7" x14ac:dyDescent="0.2">
      <c r="F67" t="str">
        <f t="shared" si="2"/>
        <v/>
      </c>
      <c r="G67" t="str">
        <f t="shared" si="3"/>
        <v/>
      </c>
    </row>
    <row r="68" spans="6:7" x14ac:dyDescent="0.2">
      <c r="F68" t="str">
        <f t="shared" si="2"/>
        <v/>
      </c>
      <c r="G68" t="str">
        <f t="shared" si="3"/>
        <v/>
      </c>
    </row>
    <row r="69" spans="6:7" x14ac:dyDescent="0.2">
      <c r="F69" t="str">
        <f t="shared" si="2"/>
        <v/>
      </c>
      <c r="G69" t="str">
        <f t="shared" si="3"/>
        <v/>
      </c>
    </row>
    <row r="70" spans="6:7" x14ac:dyDescent="0.2">
      <c r="F70" t="str">
        <f t="shared" si="2"/>
        <v/>
      </c>
      <c r="G70" t="str">
        <f t="shared" si="3"/>
        <v/>
      </c>
    </row>
    <row r="71" spans="6:7" x14ac:dyDescent="0.2">
      <c r="F71" t="str">
        <f t="shared" si="2"/>
        <v/>
      </c>
      <c r="G71" t="str">
        <f t="shared" si="3"/>
        <v/>
      </c>
    </row>
    <row r="72" spans="6:7" x14ac:dyDescent="0.2">
      <c r="F72" t="str">
        <f t="shared" si="2"/>
        <v/>
      </c>
      <c r="G72" t="str">
        <f t="shared" si="3"/>
        <v/>
      </c>
    </row>
    <row r="73" spans="6:7" x14ac:dyDescent="0.2">
      <c r="F73" t="str">
        <f t="shared" si="2"/>
        <v/>
      </c>
      <c r="G73" t="str">
        <f t="shared" si="3"/>
        <v/>
      </c>
    </row>
    <row r="74" spans="6:7" x14ac:dyDescent="0.2">
      <c r="F74" t="str">
        <f t="shared" si="2"/>
        <v/>
      </c>
      <c r="G74" t="str">
        <f t="shared" si="3"/>
        <v/>
      </c>
    </row>
    <row r="75" spans="6:7" x14ac:dyDescent="0.2">
      <c r="F75" t="str">
        <f t="shared" si="2"/>
        <v/>
      </c>
      <c r="G75" t="str">
        <f t="shared" si="3"/>
        <v/>
      </c>
    </row>
    <row r="76" spans="6:7" x14ac:dyDescent="0.2">
      <c r="F76" t="str">
        <f t="shared" si="2"/>
        <v/>
      </c>
      <c r="G76" t="str">
        <f t="shared" si="3"/>
        <v/>
      </c>
    </row>
    <row r="77" spans="6:7" x14ac:dyDescent="0.2">
      <c r="F77" t="str">
        <f t="shared" si="2"/>
        <v/>
      </c>
      <c r="G77" t="str">
        <f t="shared" si="3"/>
        <v/>
      </c>
    </row>
    <row r="78" spans="6:7" x14ac:dyDescent="0.2">
      <c r="F78" t="str">
        <f t="shared" si="2"/>
        <v/>
      </c>
      <c r="G78" t="str">
        <f t="shared" si="3"/>
        <v/>
      </c>
    </row>
    <row r="79" spans="6:7" x14ac:dyDescent="0.2">
      <c r="F79" t="str">
        <f t="shared" si="2"/>
        <v/>
      </c>
      <c r="G79" t="str">
        <f t="shared" si="3"/>
        <v/>
      </c>
    </row>
    <row r="80" spans="6:7" x14ac:dyDescent="0.2">
      <c r="F80" t="str">
        <f t="shared" si="2"/>
        <v/>
      </c>
      <c r="G80" t="str">
        <f t="shared" si="3"/>
        <v/>
      </c>
    </row>
    <row r="81" spans="6:7" x14ac:dyDescent="0.2">
      <c r="F81" t="str">
        <f t="shared" si="2"/>
        <v/>
      </c>
      <c r="G81" t="str">
        <f t="shared" si="3"/>
        <v/>
      </c>
    </row>
    <row r="82" spans="6:7" x14ac:dyDescent="0.2">
      <c r="F82" t="str">
        <f t="shared" si="2"/>
        <v/>
      </c>
      <c r="G82" t="str">
        <f t="shared" si="3"/>
        <v/>
      </c>
    </row>
    <row r="83" spans="6:7" x14ac:dyDescent="0.2">
      <c r="F83" t="str">
        <f t="shared" si="2"/>
        <v/>
      </c>
      <c r="G83" t="str">
        <f t="shared" si="3"/>
        <v/>
      </c>
    </row>
    <row r="84" spans="6:7" x14ac:dyDescent="0.2">
      <c r="F84" t="str">
        <f t="shared" si="2"/>
        <v/>
      </c>
      <c r="G84" t="str">
        <f t="shared" si="3"/>
        <v/>
      </c>
    </row>
    <row r="85" spans="6:7" x14ac:dyDescent="0.2">
      <c r="F85" t="str">
        <f t="shared" si="2"/>
        <v/>
      </c>
      <c r="G85" t="str">
        <f t="shared" si="3"/>
        <v/>
      </c>
    </row>
    <row r="86" spans="6:7" x14ac:dyDescent="0.2">
      <c r="F86" t="str">
        <f t="shared" si="2"/>
        <v/>
      </c>
      <c r="G86" t="str">
        <f t="shared" si="3"/>
        <v/>
      </c>
    </row>
    <row r="87" spans="6:7" x14ac:dyDescent="0.2">
      <c r="F87" t="str">
        <f t="shared" si="2"/>
        <v/>
      </c>
      <c r="G87" t="str">
        <f t="shared" si="3"/>
        <v/>
      </c>
    </row>
    <row r="88" spans="6:7" x14ac:dyDescent="0.2">
      <c r="F88" t="str">
        <f t="shared" si="2"/>
        <v/>
      </c>
      <c r="G88" t="str">
        <f t="shared" si="3"/>
        <v/>
      </c>
    </row>
    <row r="89" spans="6:7" x14ac:dyDescent="0.2">
      <c r="F89" t="str">
        <f t="shared" si="2"/>
        <v/>
      </c>
      <c r="G89" t="str">
        <f t="shared" si="3"/>
        <v/>
      </c>
    </row>
    <row r="90" spans="6:7" x14ac:dyDescent="0.2">
      <c r="F90" t="str">
        <f t="shared" si="2"/>
        <v/>
      </c>
      <c r="G90" t="str">
        <f t="shared" si="3"/>
        <v/>
      </c>
    </row>
    <row r="91" spans="6:7" x14ac:dyDescent="0.2">
      <c r="F91" t="str">
        <f t="shared" si="2"/>
        <v/>
      </c>
      <c r="G91" t="str">
        <f t="shared" si="3"/>
        <v/>
      </c>
    </row>
    <row r="92" spans="6:7" x14ac:dyDescent="0.2">
      <c r="F92" t="str">
        <f t="shared" si="2"/>
        <v/>
      </c>
      <c r="G92" t="str">
        <f t="shared" si="3"/>
        <v/>
      </c>
    </row>
    <row r="93" spans="6:7" x14ac:dyDescent="0.2">
      <c r="F93" t="str">
        <f t="shared" si="2"/>
        <v/>
      </c>
      <c r="G93" t="str">
        <f t="shared" si="3"/>
        <v/>
      </c>
    </row>
    <row r="94" spans="6:7" x14ac:dyDescent="0.2">
      <c r="F94" t="str">
        <f t="shared" si="2"/>
        <v/>
      </c>
      <c r="G94" t="str">
        <f t="shared" si="3"/>
        <v/>
      </c>
    </row>
    <row r="95" spans="6:7" x14ac:dyDescent="0.2">
      <c r="F95" t="str">
        <f t="shared" si="2"/>
        <v/>
      </c>
      <c r="G95" t="str">
        <f t="shared" si="3"/>
        <v/>
      </c>
    </row>
    <row r="96" spans="6:7" x14ac:dyDescent="0.2">
      <c r="F96" t="str">
        <f t="shared" si="2"/>
        <v/>
      </c>
      <c r="G96" t="str">
        <f t="shared" si="3"/>
        <v/>
      </c>
    </row>
    <row r="97" spans="6:7" x14ac:dyDescent="0.2">
      <c r="F97" t="str">
        <f t="shared" si="2"/>
        <v/>
      </c>
      <c r="G97" t="str">
        <f t="shared" si="3"/>
        <v/>
      </c>
    </row>
    <row r="98" spans="6:7" x14ac:dyDescent="0.2">
      <c r="F98" t="str">
        <f t="shared" si="2"/>
        <v/>
      </c>
      <c r="G98" t="str">
        <f t="shared" si="3"/>
        <v/>
      </c>
    </row>
    <row r="99" spans="6:7" x14ac:dyDescent="0.2">
      <c r="F99" t="str">
        <f t="shared" si="2"/>
        <v/>
      </c>
      <c r="G99" t="str">
        <f t="shared" si="3"/>
        <v/>
      </c>
    </row>
    <row r="100" spans="6:7" x14ac:dyDescent="0.2">
      <c r="F100" t="str">
        <f t="shared" si="2"/>
        <v/>
      </c>
      <c r="G100" t="str">
        <f t="shared" si="3"/>
        <v/>
      </c>
    </row>
    <row r="101" spans="6:7" x14ac:dyDescent="0.2">
      <c r="F101" t="str">
        <f t="shared" si="2"/>
        <v/>
      </c>
      <c r="G101" t="str">
        <f t="shared" si="3"/>
        <v/>
      </c>
    </row>
    <row r="102" spans="6:7" x14ac:dyDescent="0.2">
      <c r="F102" t="str">
        <f t="shared" si="2"/>
        <v/>
      </c>
      <c r="G102" t="str">
        <f t="shared" si="3"/>
        <v/>
      </c>
    </row>
    <row r="103" spans="6:7" x14ac:dyDescent="0.2">
      <c r="F103" t="str">
        <f t="shared" si="2"/>
        <v/>
      </c>
      <c r="G103" t="str">
        <f t="shared" si="3"/>
        <v/>
      </c>
    </row>
    <row r="104" spans="6:7" x14ac:dyDescent="0.2">
      <c r="F104" t="str">
        <f t="shared" si="2"/>
        <v/>
      </c>
      <c r="G104" t="str">
        <f t="shared" si="3"/>
        <v/>
      </c>
    </row>
    <row r="105" spans="6:7" x14ac:dyDescent="0.2">
      <c r="F105" t="str">
        <f t="shared" si="2"/>
        <v/>
      </c>
      <c r="G105" t="str">
        <f t="shared" si="3"/>
        <v/>
      </c>
    </row>
    <row r="106" spans="6:7" x14ac:dyDescent="0.2">
      <c r="F106" t="str">
        <f t="shared" si="2"/>
        <v/>
      </c>
      <c r="G106" t="str">
        <f t="shared" si="3"/>
        <v/>
      </c>
    </row>
    <row r="107" spans="6:7" x14ac:dyDescent="0.2">
      <c r="F107" t="str">
        <f t="shared" si="2"/>
        <v/>
      </c>
      <c r="G107" t="str">
        <f t="shared" si="3"/>
        <v/>
      </c>
    </row>
    <row r="108" spans="6:7" x14ac:dyDescent="0.2">
      <c r="F108" t="str">
        <f t="shared" si="2"/>
        <v/>
      </c>
      <c r="G108" t="str">
        <f t="shared" si="3"/>
        <v/>
      </c>
    </row>
    <row r="109" spans="6:7" x14ac:dyDescent="0.2">
      <c r="F109" t="str">
        <f t="shared" si="2"/>
        <v/>
      </c>
      <c r="G109" t="str">
        <f t="shared" si="3"/>
        <v/>
      </c>
    </row>
    <row r="110" spans="6:7" x14ac:dyDescent="0.2">
      <c r="F110" t="str">
        <f t="shared" si="2"/>
        <v/>
      </c>
      <c r="G110" t="str">
        <f t="shared" si="3"/>
        <v/>
      </c>
    </row>
    <row r="111" spans="6:7" x14ac:dyDescent="0.2">
      <c r="F111" t="str">
        <f t="shared" si="2"/>
        <v/>
      </c>
      <c r="G111" t="str">
        <f t="shared" si="3"/>
        <v/>
      </c>
    </row>
    <row r="112" spans="6:7" x14ac:dyDescent="0.2">
      <c r="F112" t="str">
        <f t="shared" si="2"/>
        <v/>
      </c>
      <c r="G112" t="str">
        <f t="shared" si="3"/>
        <v/>
      </c>
    </row>
    <row r="113" spans="6:7" x14ac:dyDescent="0.2">
      <c r="F113" t="str">
        <f t="shared" si="2"/>
        <v/>
      </c>
      <c r="G113" t="str">
        <f t="shared" si="3"/>
        <v/>
      </c>
    </row>
    <row r="114" spans="6:7" x14ac:dyDescent="0.2">
      <c r="F114" t="str">
        <f t="shared" si="2"/>
        <v/>
      </c>
      <c r="G114" t="str">
        <f t="shared" si="3"/>
        <v/>
      </c>
    </row>
    <row r="115" spans="6:7" x14ac:dyDescent="0.2">
      <c r="F115" t="str">
        <f t="shared" si="2"/>
        <v/>
      </c>
      <c r="G115" t="str">
        <f t="shared" si="3"/>
        <v/>
      </c>
    </row>
    <row r="116" spans="6:7" x14ac:dyDescent="0.2">
      <c r="F116" t="str">
        <f t="shared" si="2"/>
        <v/>
      </c>
      <c r="G116" t="str">
        <f t="shared" si="3"/>
        <v/>
      </c>
    </row>
    <row r="117" spans="6:7" x14ac:dyDescent="0.2">
      <c r="F117" t="str">
        <f t="shared" si="2"/>
        <v/>
      </c>
      <c r="G117" t="str">
        <f t="shared" si="3"/>
        <v/>
      </c>
    </row>
    <row r="118" spans="6:7" x14ac:dyDescent="0.2">
      <c r="F118" t="str">
        <f t="shared" si="2"/>
        <v/>
      </c>
      <c r="G118" t="str">
        <f t="shared" si="3"/>
        <v/>
      </c>
    </row>
    <row r="119" spans="6:7" x14ac:dyDescent="0.2">
      <c r="F119" t="str">
        <f t="shared" si="2"/>
        <v/>
      </c>
      <c r="G119" t="str">
        <f t="shared" si="3"/>
        <v/>
      </c>
    </row>
    <row r="120" spans="6:7" x14ac:dyDescent="0.2">
      <c r="F120" t="str">
        <f t="shared" si="2"/>
        <v/>
      </c>
      <c r="G120" t="str">
        <f t="shared" si="3"/>
        <v/>
      </c>
    </row>
    <row r="121" spans="6:7" x14ac:dyDescent="0.2">
      <c r="F121" t="str">
        <f t="shared" si="2"/>
        <v/>
      </c>
      <c r="G121" t="str">
        <f t="shared" si="3"/>
        <v/>
      </c>
    </row>
    <row r="122" spans="6:7" x14ac:dyDescent="0.2">
      <c r="F122" t="str">
        <f t="shared" si="2"/>
        <v/>
      </c>
      <c r="G122" t="str">
        <f t="shared" si="3"/>
        <v/>
      </c>
    </row>
    <row r="123" spans="6:7" x14ac:dyDescent="0.2">
      <c r="F123" t="str">
        <f t="shared" si="2"/>
        <v/>
      </c>
      <c r="G123" t="str">
        <f t="shared" si="3"/>
        <v/>
      </c>
    </row>
    <row r="124" spans="6:7" x14ac:dyDescent="0.2">
      <c r="F124" t="str">
        <f t="shared" si="2"/>
        <v/>
      </c>
      <c r="G124" t="str">
        <f t="shared" si="3"/>
        <v/>
      </c>
    </row>
    <row r="125" spans="6:7" x14ac:dyDescent="0.2">
      <c r="F125" t="str">
        <f t="shared" si="2"/>
        <v/>
      </c>
      <c r="G125" t="str">
        <f t="shared" si="3"/>
        <v/>
      </c>
    </row>
    <row r="126" spans="6:7" x14ac:dyDescent="0.2">
      <c r="F126" t="str">
        <f t="shared" si="2"/>
        <v/>
      </c>
      <c r="G126" t="str">
        <f t="shared" si="3"/>
        <v/>
      </c>
    </row>
    <row r="127" spans="6:7" x14ac:dyDescent="0.2">
      <c r="F127" t="str">
        <f t="shared" si="2"/>
        <v/>
      </c>
      <c r="G127" t="str">
        <f t="shared" si="3"/>
        <v/>
      </c>
    </row>
    <row r="128" spans="6:7" x14ac:dyDescent="0.2">
      <c r="F128" t="str">
        <f t="shared" si="2"/>
        <v/>
      </c>
      <c r="G128" t="str">
        <f t="shared" si="3"/>
        <v/>
      </c>
    </row>
    <row r="129" spans="6:7" x14ac:dyDescent="0.2">
      <c r="F129" t="str">
        <f t="shared" si="2"/>
        <v/>
      </c>
      <c r="G129" t="str">
        <f t="shared" si="3"/>
        <v/>
      </c>
    </row>
    <row r="130" spans="6:7" x14ac:dyDescent="0.2">
      <c r="F130" t="str">
        <f t="shared" ref="F130:F193" si="4">IF(OR(D130="",E130=""),"",E130-D130)</f>
        <v/>
      </c>
      <c r="G130" t="str">
        <f t="shared" ref="G130:G193" si="5">IF(F130="","",IF(F130&gt;0,"ANO","NE"))</f>
        <v/>
      </c>
    </row>
    <row r="131" spans="6:7" x14ac:dyDescent="0.2">
      <c r="F131" t="str">
        <f t="shared" si="4"/>
        <v/>
      </c>
      <c r="G131" t="str">
        <f t="shared" si="5"/>
        <v/>
      </c>
    </row>
    <row r="132" spans="6:7" x14ac:dyDescent="0.2">
      <c r="F132" t="str">
        <f t="shared" si="4"/>
        <v/>
      </c>
      <c r="G132" t="str">
        <f t="shared" si="5"/>
        <v/>
      </c>
    </row>
    <row r="133" spans="6:7" x14ac:dyDescent="0.2">
      <c r="F133" t="str">
        <f t="shared" si="4"/>
        <v/>
      </c>
      <c r="G133" t="str">
        <f t="shared" si="5"/>
        <v/>
      </c>
    </row>
    <row r="134" spans="6:7" x14ac:dyDescent="0.2">
      <c r="F134" t="str">
        <f t="shared" si="4"/>
        <v/>
      </c>
      <c r="G134" t="str">
        <f t="shared" si="5"/>
        <v/>
      </c>
    </row>
    <row r="135" spans="6:7" x14ac:dyDescent="0.2">
      <c r="F135" t="str">
        <f t="shared" si="4"/>
        <v/>
      </c>
      <c r="G135" t="str">
        <f t="shared" si="5"/>
        <v/>
      </c>
    </row>
    <row r="136" spans="6:7" x14ac:dyDescent="0.2">
      <c r="F136" t="str">
        <f t="shared" si="4"/>
        <v/>
      </c>
      <c r="G136" t="str">
        <f t="shared" si="5"/>
        <v/>
      </c>
    </row>
    <row r="137" spans="6:7" x14ac:dyDescent="0.2">
      <c r="F137" t="str">
        <f t="shared" si="4"/>
        <v/>
      </c>
      <c r="G137" t="str">
        <f t="shared" si="5"/>
        <v/>
      </c>
    </row>
    <row r="138" spans="6:7" x14ac:dyDescent="0.2">
      <c r="F138" t="str">
        <f t="shared" si="4"/>
        <v/>
      </c>
      <c r="G138" t="str">
        <f t="shared" si="5"/>
        <v/>
      </c>
    </row>
    <row r="139" spans="6:7" x14ac:dyDescent="0.2">
      <c r="F139" t="str">
        <f t="shared" si="4"/>
        <v/>
      </c>
      <c r="G139" t="str">
        <f t="shared" si="5"/>
        <v/>
      </c>
    </row>
    <row r="140" spans="6:7" x14ac:dyDescent="0.2">
      <c r="F140" t="str">
        <f t="shared" si="4"/>
        <v/>
      </c>
      <c r="G140" t="str">
        <f t="shared" si="5"/>
        <v/>
      </c>
    </row>
    <row r="141" spans="6:7" x14ac:dyDescent="0.2">
      <c r="F141" t="str">
        <f t="shared" si="4"/>
        <v/>
      </c>
      <c r="G141" t="str">
        <f t="shared" si="5"/>
        <v/>
      </c>
    </row>
    <row r="142" spans="6:7" x14ac:dyDescent="0.2">
      <c r="F142" t="str">
        <f t="shared" si="4"/>
        <v/>
      </c>
      <c r="G142" t="str">
        <f t="shared" si="5"/>
        <v/>
      </c>
    </row>
    <row r="143" spans="6:7" x14ac:dyDescent="0.2">
      <c r="F143" t="str">
        <f t="shared" si="4"/>
        <v/>
      </c>
      <c r="G143" t="str">
        <f t="shared" si="5"/>
        <v/>
      </c>
    </row>
    <row r="144" spans="6:7" x14ac:dyDescent="0.2">
      <c r="F144" t="str">
        <f t="shared" si="4"/>
        <v/>
      </c>
      <c r="G144" t="str">
        <f t="shared" si="5"/>
        <v/>
      </c>
    </row>
    <row r="145" spans="6:7" x14ac:dyDescent="0.2">
      <c r="F145" t="str">
        <f t="shared" si="4"/>
        <v/>
      </c>
      <c r="G145" t="str">
        <f t="shared" si="5"/>
        <v/>
      </c>
    </row>
    <row r="146" spans="6:7" x14ac:dyDescent="0.2">
      <c r="F146" t="str">
        <f t="shared" si="4"/>
        <v/>
      </c>
      <c r="G146" t="str">
        <f t="shared" si="5"/>
        <v/>
      </c>
    </row>
    <row r="147" spans="6:7" x14ac:dyDescent="0.2">
      <c r="F147" t="str">
        <f t="shared" si="4"/>
        <v/>
      </c>
      <c r="G147" t="str">
        <f t="shared" si="5"/>
        <v/>
      </c>
    </row>
    <row r="148" spans="6:7" x14ac:dyDescent="0.2">
      <c r="F148" t="str">
        <f t="shared" si="4"/>
        <v/>
      </c>
      <c r="G148" t="str">
        <f t="shared" si="5"/>
        <v/>
      </c>
    </row>
    <row r="149" spans="6:7" x14ac:dyDescent="0.2">
      <c r="F149" t="str">
        <f t="shared" si="4"/>
        <v/>
      </c>
      <c r="G149" t="str">
        <f t="shared" si="5"/>
        <v/>
      </c>
    </row>
    <row r="150" spans="6:7" x14ac:dyDescent="0.2">
      <c r="F150" t="str">
        <f t="shared" si="4"/>
        <v/>
      </c>
      <c r="G150" t="str">
        <f t="shared" si="5"/>
        <v/>
      </c>
    </row>
    <row r="151" spans="6:7" x14ac:dyDescent="0.2">
      <c r="F151" t="str">
        <f t="shared" si="4"/>
        <v/>
      </c>
      <c r="G151" t="str">
        <f t="shared" si="5"/>
        <v/>
      </c>
    </row>
    <row r="152" spans="6:7" x14ac:dyDescent="0.2">
      <c r="F152" t="str">
        <f t="shared" si="4"/>
        <v/>
      </c>
      <c r="G152" t="str">
        <f t="shared" si="5"/>
        <v/>
      </c>
    </row>
    <row r="153" spans="6:7" x14ac:dyDescent="0.2">
      <c r="F153" t="str">
        <f t="shared" si="4"/>
        <v/>
      </c>
      <c r="G153" t="str">
        <f t="shared" si="5"/>
        <v/>
      </c>
    </row>
    <row r="154" spans="6:7" x14ac:dyDescent="0.2">
      <c r="F154" t="str">
        <f t="shared" si="4"/>
        <v/>
      </c>
      <c r="G154" t="str">
        <f t="shared" si="5"/>
        <v/>
      </c>
    </row>
    <row r="155" spans="6:7" x14ac:dyDescent="0.2">
      <c r="F155" t="str">
        <f t="shared" si="4"/>
        <v/>
      </c>
      <c r="G155" t="str">
        <f t="shared" si="5"/>
        <v/>
      </c>
    </row>
    <row r="156" spans="6:7" x14ac:dyDescent="0.2">
      <c r="F156" t="str">
        <f t="shared" si="4"/>
        <v/>
      </c>
      <c r="G156" t="str">
        <f t="shared" si="5"/>
        <v/>
      </c>
    </row>
    <row r="157" spans="6:7" x14ac:dyDescent="0.2">
      <c r="F157" t="str">
        <f t="shared" si="4"/>
        <v/>
      </c>
      <c r="G157" t="str">
        <f t="shared" si="5"/>
        <v/>
      </c>
    </row>
    <row r="158" spans="6:7" x14ac:dyDescent="0.2">
      <c r="F158" t="str">
        <f t="shared" si="4"/>
        <v/>
      </c>
      <c r="G158" t="str">
        <f t="shared" si="5"/>
        <v/>
      </c>
    </row>
    <row r="159" spans="6:7" x14ac:dyDescent="0.2">
      <c r="F159" t="str">
        <f t="shared" si="4"/>
        <v/>
      </c>
      <c r="G159" t="str">
        <f t="shared" si="5"/>
        <v/>
      </c>
    </row>
    <row r="160" spans="6:7" x14ac:dyDescent="0.2">
      <c r="F160" t="str">
        <f t="shared" si="4"/>
        <v/>
      </c>
      <c r="G160" t="str">
        <f t="shared" si="5"/>
        <v/>
      </c>
    </row>
    <row r="161" spans="6:7" x14ac:dyDescent="0.2">
      <c r="F161" t="str">
        <f t="shared" si="4"/>
        <v/>
      </c>
      <c r="G161" t="str">
        <f t="shared" si="5"/>
        <v/>
      </c>
    </row>
    <row r="162" spans="6:7" x14ac:dyDescent="0.2">
      <c r="F162" t="str">
        <f t="shared" si="4"/>
        <v/>
      </c>
      <c r="G162" t="str">
        <f t="shared" si="5"/>
        <v/>
      </c>
    </row>
    <row r="163" spans="6:7" x14ac:dyDescent="0.2">
      <c r="F163" t="str">
        <f t="shared" si="4"/>
        <v/>
      </c>
      <c r="G163" t="str">
        <f t="shared" si="5"/>
        <v/>
      </c>
    </row>
    <row r="164" spans="6:7" x14ac:dyDescent="0.2">
      <c r="F164" t="str">
        <f t="shared" si="4"/>
        <v/>
      </c>
      <c r="G164" t="str">
        <f t="shared" si="5"/>
        <v/>
      </c>
    </row>
    <row r="165" spans="6:7" x14ac:dyDescent="0.2">
      <c r="F165" t="str">
        <f t="shared" si="4"/>
        <v/>
      </c>
      <c r="G165" t="str">
        <f t="shared" si="5"/>
        <v/>
      </c>
    </row>
    <row r="166" spans="6:7" x14ac:dyDescent="0.2">
      <c r="F166" t="str">
        <f t="shared" si="4"/>
        <v/>
      </c>
      <c r="G166" t="str">
        <f t="shared" si="5"/>
        <v/>
      </c>
    </row>
    <row r="167" spans="6:7" x14ac:dyDescent="0.2">
      <c r="F167" t="str">
        <f t="shared" si="4"/>
        <v/>
      </c>
      <c r="G167" t="str">
        <f t="shared" si="5"/>
        <v/>
      </c>
    </row>
    <row r="168" spans="6:7" x14ac:dyDescent="0.2">
      <c r="F168" t="str">
        <f t="shared" si="4"/>
        <v/>
      </c>
      <c r="G168" t="str">
        <f t="shared" si="5"/>
        <v/>
      </c>
    </row>
    <row r="169" spans="6:7" x14ac:dyDescent="0.2">
      <c r="F169" t="str">
        <f t="shared" si="4"/>
        <v/>
      </c>
      <c r="G169" t="str">
        <f t="shared" si="5"/>
        <v/>
      </c>
    </row>
    <row r="170" spans="6:7" x14ac:dyDescent="0.2">
      <c r="F170" t="str">
        <f t="shared" si="4"/>
        <v/>
      </c>
      <c r="G170" t="str">
        <f t="shared" si="5"/>
        <v/>
      </c>
    </row>
    <row r="171" spans="6:7" x14ac:dyDescent="0.2">
      <c r="F171" t="str">
        <f t="shared" si="4"/>
        <v/>
      </c>
      <c r="G171" t="str">
        <f t="shared" si="5"/>
        <v/>
      </c>
    </row>
    <row r="172" spans="6:7" x14ac:dyDescent="0.2">
      <c r="F172" t="str">
        <f t="shared" si="4"/>
        <v/>
      </c>
      <c r="G172" t="str">
        <f t="shared" si="5"/>
        <v/>
      </c>
    </row>
    <row r="173" spans="6:7" x14ac:dyDescent="0.2">
      <c r="F173" t="str">
        <f t="shared" si="4"/>
        <v/>
      </c>
      <c r="G173" t="str">
        <f t="shared" si="5"/>
        <v/>
      </c>
    </row>
    <row r="174" spans="6:7" x14ac:dyDescent="0.2">
      <c r="F174" t="str">
        <f t="shared" si="4"/>
        <v/>
      </c>
      <c r="G174" t="str">
        <f t="shared" si="5"/>
        <v/>
      </c>
    </row>
    <row r="175" spans="6:7" x14ac:dyDescent="0.2">
      <c r="F175" t="str">
        <f t="shared" si="4"/>
        <v/>
      </c>
      <c r="G175" t="str">
        <f t="shared" si="5"/>
        <v/>
      </c>
    </row>
    <row r="176" spans="6:7" x14ac:dyDescent="0.2">
      <c r="F176" t="str">
        <f t="shared" si="4"/>
        <v/>
      </c>
      <c r="G176" t="str">
        <f t="shared" si="5"/>
        <v/>
      </c>
    </row>
    <row r="177" spans="6:7" x14ac:dyDescent="0.2">
      <c r="F177" t="str">
        <f t="shared" si="4"/>
        <v/>
      </c>
      <c r="G177" t="str">
        <f t="shared" si="5"/>
        <v/>
      </c>
    </row>
    <row r="178" spans="6:7" x14ac:dyDescent="0.2">
      <c r="F178" t="str">
        <f t="shared" si="4"/>
        <v/>
      </c>
      <c r="G178" t="str">
        <f t="shared" si="5"/>
        <v/>
      </c>
    </row>
    <row r="179" spans="6:7" x14ac:dyDescent="0.2">
      <c r="F179" t="str">
        <f t="shared" si="4"/>
        <v/>
      </c>
      <c r="G179" t="str">
        <f t="shared" si="5"/>
        <v/>
      </c>
    </row>
    <row r="180" spans="6:7" x14ac:dyDescent="0.2">
      <c r="F180" t="str">
        <f t="shared" si="4"/>
        <v/>
      </c>
      <c r="G180" t="str">
        <f t="shared" si="5"/>
        <v/>
      </c>
    </row>
    <row r="181" spans="6:7" x14ac:dyDescent="0.2">
      <c r="F181" t="str">
        <f t="shared" si="4"/>
        <v/>
      </c>
      <c r="G181" t="str">
        <f t="shared" si="5"/>
        <v/>
      </c>
    </row>
    <row r="182" spans="6:7" x14ac:dyDescent="0.2">
      <c r="F182" t="str">
        <f t="shared" si="4"/>
        <v/>
      </c>
      <c r="G182" t="str">
        <f t="shared" si="5"/>
        <v/>
      </c>
    </row>
    <row r="183" spans="6:7" x14ac:dyDescent="0.2">
      <c r="F183" t="str">
        <f t="shared" si="4"/>
        <v/>
      </c>
      <c r="G183" t="str">
        <f t="shared" si="5"/>
        <v/>
      </c>
    </row>
    <row r="184" spans="6:7" x14ac:dyDescent="0.2">
      <c r="F184" t="str">
        <f t="shared" si="4"/>
        <v/>
      </c>
      <c r="G184" t="str">
        <f t="shared" si="5"/>
        <v/>
      </c>
    </row>
    <row r="185" spans="6:7" x14ac:dyDescent="0.2">
      <c r="F185" t="str">
        <f t="shared" si="4"/>
        <v/>
      </c>
      <c r="G185" t="str">
        <f t="shared" si="5"/>
        <v/>
      </c>
    </row>
    <row r="186" spans="6:7" x14ac:dyDescent="0.2">
      <c r="F186" t="str">
        <f t="shared" si="4"/>
        <v/>
      </c>
      <c r="G186" t="str">
        <f t="shared" si="5"/>
        <v/>
      </c>
    </row>
    <row r="187" spans="6:7" x14ac:dyDescent="0.2">
      <c r="F187" t="str">
        <f t="shared" si="4"/>
        <v/>
      </c>
      <c r="G187" t="str">
        <f t="shared" si="5"/>
        <v/>
      </c>
    </row>
    <row r="188" spans="6:7" x14ac:dyDescent="0.2">
      <c r="F188" t="str">
        <f t="shared" si="4"/>
        <v/>
      </c>
      <c r="G188" t="str">
        <f t="shared" si="5"/>
        <v/>
      </c>
    </row>
    <row r="189" spans="6:7" x14ac:dyDescent="0.2">
      <c r="F189" t="str">
        <f t="shared" si="4"/>
        <v/>
      </c>
      <c r="G189" t="str">
        <f t="shared" si="5"/>
        <v/>
      </c>
    </row>
    <row r="190" spans="6:7" x14ac:dyDescent="0.2">
      <c r="F190" t="str">
        <f t="shared" si="4"/>
        <v/>
      </c>
      <c r="G190" t="str">
        <f t="shared" si="5"/>
        <v/>
      </c>
    </row>
    <row r="191" spans="6:7" x14ac:dyDescent="0.2">
      <c r="F191" t="str">
        <f t="shared" si="4"/>
        <v/>
      </c>
      <c r="G191" t="str">
        <f t="shared" si="5"/>
        <v/>
      </c>
    </row>
    <row r="192" spans="6:7" x14ac:dyDescent="0.2">
      <c r="F192" t="str">
        <f t="shared" si="4"/>
        <v/>
      </c>
      <c r="G192" t="str">
        <f t="shared" si="5"/>
        <v/>
      </c>
    </row>
    <row r="193" spans="6:7" x14ac:dyDescent="0.2">
      <c r="F193" t="str">
        <f t="shared" si="4"/>
        <v/>
      </c>
      <c r="G193" t="str">
        <f t="shared" si="5"/>
        <v/>
      </c>
    </row>
    <row r="194" spans="6:7" x14ac:dyDescent="0.2">
      <c r="F194" t="str">
        <f t="shared" ref="F194:F257" si="6">IF(OR(D194="",E194=""),"",E194-D194)</f>
        <v/>
      </c>
      <c r="G194" t="str">
        <f t="shared" ref="G194:G257" si="7">IF(F194="","",IF(F194&gt;0,"ANO","NE"))</f>
        <v/>
      </c>
    </row>
    <row r="195" spans="6:7" x14ac:dyDescent="0.2">
      <c r="F195" t="str">
        <f t="shared" si="6"/>
        <v/>
      </c>
      <c r="G195" t="str">
        <f t="shared" si="7"/>
        <v/>
      </c>
    </row>
    <row r="196" spans="6:7" x14ac:dyDescent="0.2">
      <c r="F196" t="str">
        <f t="shared" si="6"/>
        <v/>
      </c>
      <c r="G196" t="str">
        <f t="shared" si="7"/>
        <v/>
      </c>
    </row>
    <row r="197" spans="6:7" x14ac:dyDescent="0.2">
      <c r="F197" t="str">
        <f t="shared" si="6"/>
        <v/>
      </c>
      <c r="G197" t="str">
        <f t="shared" si="7"/>
        <v/>
      </c>
    </row>
    <row r="198" spans="6:7" x14ac:dyDescent="0.2">
      <c r="F198" t="str">
        <f t="shared" si="6"/>
        <v/>
      </c>
      <c r="G198" t="str">
        <f t="shared" si="7"/>
        <v/>
      </c>
    </row>
    <row r="199" spans="6:7" x14ac:dyDescent="0.2">
      <c r="F199" t="str">
        <f t="shared" si="6"/>
        <v/>
      </c>
      <c r="G199" t="str">
        <f t="shared" si="7"/>
        <v/>
      </c>
    </row>
    <row r="200" spans="6:7" x14ac:dyDescent="0.2">
      <c r="F200" t="str">
        <f t="shared" si="6"/>
        <v/>
      </c>
      <c r="G200" t="str">
        <f t="shared" si="7"/>
        <v/>
      </c>
    </row>
    <row r="201" spans="6:7" x14ac:dyDescent="0.2">
      <c r="F201" t="str">
        <f t="shared" si="6"/>
        <v/>
      </c>
      <c r="G201" t="str">
        <f t="shared" si="7"/>
        <v/>
      </c>
    </row>
    <row r="202" spans="6:7" x14ac:dyDescent="0.2">
      <c r="F202" t="str">
        <f t="shared" si="6"/>
        <v/>
      </c>
      <c r="G202" t="str">
        <f t="shared" si="7"/>
        <v/>
      </c>
    </row>
    <row r="203" spans="6:7" x14ac:dyDescent="0.2">
      <c r="F203" t="str">
        <f t="shared" si="6"/>
        <v/>
      </c>
      <c r="G203" t="str">
        <f t="shared" si="7"/>
        <v/>
      </c>
    </row>
    <row r="204" spans="6:7" x14ac:dyDescent="0.2">
      <c r="F204" t="str">
        <f t="shared" si="6"/>
        <v/>
      </c>
      <c r="G204" t="str">
        <f t="shared" si="7"/>
        <v/>
      </c>
    </row>
    <row r="205" spans="6:7" x14ac:dyDescent="0.2">
      <c r="F205" t="str">
        <f t="shared" si="6"/>
        <v/>
      </c>
      <c r="G205" t="str">
        <f t="shared" si="7"/>
        <v/>
      </c>
    </row>
    <row r="206" spans="6:7" x14ac:dyDescent="0.2">
      <c r="F206" t="str">
        <f t="shared" si="6"/>
        <v/>
      </c>
      <c r="G206" t="str">
        <f t="shared" si="7"/>
        <v/>
      </c>
    </row>
    <row r="207" spans="6:7" x14ac:dyDescent="0.2">
      <c r="F207" t="str">
        <f t="shared" si="6"/>
        <v/>
      </c>
      <c r="G207" t="str">
        <f t="shared" si="7"/>
        <v/>
      </c>
    </row>
    <row r="208" spans="6:7" x14ac:dyDescent="0.2">
      <c r="F208" t="str">
        <f t="shared" si="6"/>
        <v/>
      </c>
      <c r="G208" t="str">
        <f t="shared" si="7"/>
        <v/>
      </c>
    </row>
    <row r="209" spans="6:7" x14ac:dyDescent="0.2">
      <c r="F209" t="str">
        <f t="shared" si="6"/>
        <v/>
      </c>
      <c r="G209" t="str">
        <f t="shared" si="7"/>
        <v/>
      </c>
    </row>
    <row r="210" spans="6:7" x14ac:dyDescent="0.2">
      <c r="F210" t="str">
        <f t="shared" si="6"/>
        <v/>
      </c>
      <c r="G210" t="str">
        <f t="shared" si="7"/>
        <v/>
      </c>
    </row>
    <row r="211" spans="6:7" x14ac:dyDescent="0.2">
      <c r="F211" t="str">
        <f t="shared" si="6"/>
        <v/>
      </c>
      <c r="G211" t="str">
        <f t="shared" si="7"/>
        <v/>
      </c>
    </row>
    <row r="212" spans="6:7" x14ac:dyDescent="0.2">
      <c r="F212" t="str">
        <f t="shared" si="6"/>
        <v/>
      </c>
      <c r="G212" t="str">
        <f t="shared" si="7"/>
        <v/>
      </c>
    </row>
    <row r="213" spans="6:7" x14ac:dyDescent="0.2">
      <c r="F213" t="str">
        <f t="shared" si="6"/>
        <v/>
      </c>
      <c r="G213" t="str">
        <f t="shared" si="7"/>
        <v/>
      </c>
    </row>
    <row r="214" spans="6:7" x14ac:dyDescent="0.2">
      <c r="F214" t="str">
        <f t="shared" si="6"/>
        <v/>
      </c>
      <c r="G214" t="str">
        <f t="shared" si="7"/>
        <v/>
      </c>
    </row>
    <row r="215" spans="6:7" x14ac:dyDescent="0.2">
      <c r="F215" t="str">
        <f t="shared" si="6"/>
        <v/>
      </c>
      <c r="G215" t="str">
        <f t="shared" si="7"/>
        <v/>
      </c>
    </row>
    <row r="216" spans="6:7" x14ac:dyDescent="0.2">
      <c r="F216" t="str">
        <f t="shared" si="6"/>
        <v/>
      </c>
      <c r="G216" t="str">
        <f t="shared" si="7"/>
        <v/>
      </c>
    </row>
    <row r="217" spans="6:7" x14ac:dyDescent="0.2">
      <c r="F217" t="str">
        <f t="shared" si="6"/>
        <v/>
      </c>
      <c r="G217" t="str">
        <f t="shared" si="7"/>
        <v/>
      </c>
    </row>
    <row r="218" spans="6:7" x14ac:dyDescent="0.2">
      <c r="F218" t="str">
        <f t="shared" si="6"/>
        <v/>
      </c>
      <c r="G218" t="str">
        <f t="shared" si="7"/>
        <v/>
      </c>
    </row>
    <row r="219" spans="6:7" x14ac:dyDescent="0.2">
      <c r="F219" t="str">
        <f t="shared" si="6"/>
        <v/>
      </c>
      <c r="G219" t="str">
        <f t="shared" si="7"/>
        <v/>
      </c>
    </row>
    <row r="220" spans="6:7" x14ac:dyDescent="0.2">
      <c r="F220" t="str">
        <f t="shared" si="6"/>
        <v/>
      </c>
      <c r="G220" t="str">
        <f t="shared" si="7"/>
        <v/>
      </c>
    </row>
    <row r="221" spans="6:7" x14ac:dyDescent="0.2">
      <c r="F221" t="str">
        <f t="shared" si="6"/>
        <v/>
      </c>
      <c r="G221" t="str">
        <f t="shared" si="7"/>
        <v/>
      </c>
    </row>
    <row r="222" spans="6:7" x14ac:dyDescent="0.2">
      <c r="F222" t="str">
        <f t="shared" si="6"/>
        <v/>
      </c>
      <c r="G222" t="str">
        <f t="shared" si="7"/>
        <v/>
      </c>
    </row>
    <row r="223" spans="6:7" x14ac:dyDescent="0.2">
      <c r="F223" t="str">
        <f t="shared" si="6"/>
        <v/>
      </c>
      <c r="G223" t="str">
        <f t="shared" si="7"/>
        <v/>
      </c>
    </row>
    <row r="224" spans="6:7" x14ac:dyDescent="0.2">
      <c r="F224" t="str">
        <f t="shared" si="6"/>
        <v/>
      </c>
      <c r="G224" t="str">
        <f t="shared" si="7"/>
        <v/>
      </c>
    </row>
    <row r="225" spans="6:7" x14ac:dyDescent="0.2">
      <c r="F225" t="str">
        <f t="shared" si="6"/>
        <v/>
      </c>
      <c r="G225" t="str">
        <f t="shared" si="7"/>
        <v/>
      </c>
    </row>
    <row r="226" spans="6:7" x14ac:dyDescent="0.2">
      <c r="F226" t="str">
        <f t="shared" si="6"/>
        <v/>
      </c>
      <c r="G226" t="str">
        <f t="shared" si="7"/>
        <v/>
      </c>
    </row>
    <row r="227" spans="6:7" x14ac:dyDescent="0.2">
      <c r="F227" t="str">
        <f t="shared" si="6"/>
        <v/>
      </c>
      <c r="G227" t="str">
        <f t="shared" si="7"/>
        <v/>
      </c>
    </row>
    <row r="228" spans="6:7" x14ac:dyDescent="0.2">
      <c r="F228" t="str">
        <f t="shared" si="6"/>
        <v/>
      </c>
      <c r="G228" t="str">
        <f t="shared" si="7"/>
        <v/>
      </c>
    </row>
    <row r="229" spans="6:7" x14ac:dyDescent="0.2">
      <c r="F229" t="str">
        <f t="shared" si="6"/>
        <v/>
      </c>
      <c r="G229" t="str">
        <f t="shared" si="7"/>
        <v/>
      </c>
    </row>
    <row r="230" spans="6:7" x14ac:dyDescent="0.2">
      <c r="F230" t="str">
        <f t="shared" si="6"/>
        <v/>
      </c>
      <c r="G230" t="str">
        <f t="shared" si="7"/>
        <v/>
      </c>
    </row>
    <row r="231" spans="6:7" x14ac:dyDescent="0.2">
      <c r="F231" t="str">
        <f t="shared" si="6"/>
        <v/>
      </c>
      <c r="G231" t="str">
        <f t="shared" si="7"/>
        <v/>
      </c>
    </row>
    <row r="232" spans="6:7" x14ac:dyDescent="0.2">
      <c r="F232" t="str">
        <f t="shared" si="6"/>
        <v/>
      </c>
      <c r="G232" t="str">
        <f t="shared" si="7"/>
        <v/>
      </c>
    </row>
    <row r="233" spans="6:7" x14ac:dyDescent="0.2">
      <c r="F233" t="str">
        <f t="shared" si="6"/>
        <v/>
      </c>
      <c r="G233" t="str">
        <f t="shared" si="7"/>
        <v/>
      </c>
    </row>
    <row r="234" spans="6:7" x14ac:dyDescent="0.2">
      <c r="F234" t="str">
        <f t="shared" si="6"/>
        <v/>
      </c>
      <c r="G234" t="str">
        <f t="shared" si="7"/>
        <v/>
      </c>
    </row>
    <row r="235" spans="6:7" x14ac:dyDescent="0.2">
      <c r="F235" t="str">
        <f t="shared" si="6"/>
        <v/>
      </c>
      <c r="G235" t="str">
        <f t="shared" si="7"/>
        <v/>
      </c>
    </row>
    <row r="236" spans="6:7" x14ac:dyDescent="0.2">
      <c r="F236" t="str">
        <f t="shared" si="6"/>
        <v/>
      </c>
      <c r="G236" t="str">
        <f t="shared" si="7"/>
        <v/>
      </c>
    </row>
    <row r="237" spans="6:7" x14ac:dyDescent="0.2">
      <c r="F237" t="str">
        <f t="shared" si="6"/>
        <v/>
      </c>
      <c r="G237" t="str">
        <f t="shared" si="7"/>
        <v/>
      </c>
    </row>
    <row r="238" spans="6:7" x14ac:dyDescent="0.2">
      <c r="F238" t="str">
        <f t="shared" si="6"/>
        <v/>
      </c>
      <c r="G238" t="str">
        <f t="shared" si="7"/>
        <v/>
      </c>
    </row>
    <row r="239" spans="6:7" x14ac:dyDescent="0.2">
      <c r="F239" t="str">
        <f t="shared" si="6"/>
        <v/>
      </c>
      <c r="G239" t="str">
        <f t="shared" si="7"/>
        <v/>
      </c>
    </row>
    <row r="240" spans="6:7" x14ac:dyDescent="0.2">
      <c r="F240" t="str">
        <f t="shared" si="6"/>
        <v/>
      </c>
      <c r="G240" t="str">
        <f t="shared" si="7"/>
        <v/>
      </c>
    </row>
    <row r="241" spans="6:7" x14ac:dyDescent="0.2">
      <c r="F241" t="str">
        <f t="shared" si="6"/>
        <v/>
      </c>
      <c r="G241" t="str">
        <f t="shared" si="7"/>
        <v/>
      </c>
    </row>
    <row r="242" spans="6:7" x14ac:dyDescent="0.2">
      <c r="F242" t="str">
        <f t="shared" si="6"/>
        <v/>
      </c>
      <c r="G242" t="str">
        <f t="shared" si="7"/>
        <v/>
      </c>
    </row>
    <row r="243" spans="6:7" x14ac:dyDescent="0.2">
      <c r="F243" t="str">
        <f t="shared" si="6"/>
        <v/>
      </c>
      <c r="G243" t="str">
        <f t="shared" si="7"/>
        <v/>
      </c>
    </row>
    <row r="244" spans="6:7" x14ac:dyDescent="0.2">
      <c r="F244" t="str">
        <f t="shared" si="6"/>
        <v/>
      </c>
      <c r="G244" t="str">
        <f t="shared" si="7"/>
        <v/>
      </c>
    </row>
    <row r="245" spans="6:7" x14ac:dyDescent="0.2">
      <c r="F245" t="str">
        <f t="shared" si="6"/>
        <v/>
      </c>
      <c r="G245" t="str">
        <f t="shared" si="7"/>
        <v/>
      </c>
    </row>
    <row r="246" spans="6:7" x14ac:dyDescent="0.2">
      <c r="F246" t="str">
        <f t="shared" si="6"/>
        <v/>
      </c>
      <c r="G246" t="str">
        <f t="shared" si="7"/>
        <v/>
      </c>
    </row>
    <row r="247" spans="6:7" x14ac:dyDescent="0.2">
      <c r="F247" t="str">
        <f t="shared" si="6"/>
        <v/>
      </c>
      <c r="G247" t="str">
        <f t="shared" si="7"/>
        <v/>
      </c>
    </row>
    <row r="248" spans="6:7" x14ac:dyDescent="0.2">
      <c r="F248" t="str">
        <f t="shared" si="6"/>
        <v/>
      </c>
      <c r="G248" t="str">
        <f t="shared" si="7"/>
        <v/>
      </c>
    </row>
    <row r="249" spans="6:7" x14ac:dyDescent="0.2">
      <c r="F249" t="str">
        <f t="shared" si="6"/>
        <v/>
      </c>
      <c r="G249" t="str">
        <f t="shared" si="7"/>
        <v/>
      </c>
    </row>
    <row r="250" spans="6:7" x14ac:dyDescent="0.2">
      <c r="F250" t="str">
        <f t="shared" si="6"/>
        <v/>
      </c>
      <c r="G250" t="str">
        <f t="shared" si="7"/>
        <v/>
      </c>
    </row>
    <row r="251" spans="6:7" x14ac:dyDescent="0.2">
      <c r="F251" t="str">
        <f t="shared" si="6"/>
        <v/>
      </c>
      <c r="G251" t="str">
        <f t="shared" si="7"/>
        <v/>
      </c>
    </row>
    <row r="252" spans="6:7" x14ac:dyDescent="0.2">
      <c r="F252" t="str">
        <f t="shared" si="6"/>
        <v/>
      </c>
      <c r="G252" t="str">
        <f t="shared" si="7"/>
        <v/>
      </c>
    </row>
    <row r="253" spans="6:7" x14ac:dyDescent="0.2">
      <c r="F253" t="str">
        <f t="shared" si="6"/>
        <v/>
      </c>
      <c r="G253" t="str">
        <f t="shared" si="7"/>
        <v/>
      </c>
    </row>
    <row r="254" spans="6:7" x14ac:dyDescent="0.2">
      <c r="F254" t="str">
        <f t="shared" si="6"/>
        <v/>
      </c>
      <c r="G254" t="str">
        <f t="shared" si="7"/>
        <v/>
      </c>
    </row>
    <row r="255" spans="6:7" x14ac:dyDescent="0.2">
      <c r="F255" t="str">
        <f t="shared" si="6"/>
        <v/>
      </c>
      <c r="G255" t="str">
        <f t="shared" si="7"/>
        <v/>
      </c>
    </row>
    <row r="256" spans="6:7" x14ac:dyDescent="0.2">
      <c r="F256" t="str">
        <f t="shared" si="6"/>
        <v/>
      </c>
      <c r="G256" t="str">
        <f t="shared" si="7"/>
        <v/>
      </c>
    </row>
    <row r="257" spans="6:7" x14ac:dyDescent="0.2">
      <c r="F257" t="str">
        <f t="shared" si="6"/>
        <v/>
      </c>
      <c r="G257" t="str">
        <f t="shared" si="7"/>
        <v/>
      </c>
    </row>
    <row r="258" spans="6:7" x14ac:dyDescent="0.2">
      <c r="F258" t="str">
        <f t="shared" ref="F258:F321" si="8">IF(OR(D258="",E258=""),"",E258-D258)</f>
        <v/>
      </c>
      <c r="G258" t="str">
        <f t="shared" ref="G258:G321" si="9">IF(F258="","",IF(F258&gt;0,"ANO","NE"))</f>
        <v/>
      </c>
    </row>
    <row r="259" spans="6:7" x14ac:dyDescent="0.2">
      <c r="F259" t="str">
        <f t="shared" si="8"/>
        <v/>
      </c>
      <c r="G259" t="str">
        <f t="shared" si="9"/>
        <v/>
      </c>
    </row>
    <row r="260" spans="6:7" x14ac:dyDescent="0.2">
      <c r="F260" t="str">
        <f t="shared" si="8"/>
        <v/>
      </c>
      <c r="G260" t="str">
        <f t="shared" si="9"/>
        <v/>
      </c>
    </row>
    <row r="261" spans="6:7" x14ac:dyDescent="0.2">
      <c r="F261" t="str">
        <f t="shared" si="8"/>
        <v/>
      </c>
      <c r="G261" t="str">
        <f t="shared" si="9"/>
        <v/>
      </c>
    </row>
    <row r="262" spans="6:7" x14ac:dyDescent="0.2">
      <c r="F262" t="str">
        <f t="shared" si="8"/>
        <v/>
      </c>
      <c r="G262" t="str">
        <f t="shared" si="9"/>
        <v/>
      </c>
    </row>
    <row r="263" spans="6:7" x14ac:dyDescent="0.2">
      <c r="F263" t="str">
        <f t="shared" si="8"/>
        <v/>
      </c>
      <c r="G263" t="str">
        <f t="shared" si="9"/>
        <v/>
      </c>
    </row>
    <row r="264" spans="6:7" x14ac:dyDescent="0.2">
      <c r="F264" t="str">
        <f t="shared" si="8"/>
        <v/>
      </c>
      <c r="G264" t="str">
        <f t="shared" si="9"/>
        <v/>
      </c>
    </row>
    <row r="265" spans="6:7" x14ac:dyDescent="0.2">
      <c r="F265" t="str">
        <f t="shared" si="8"/>
        <v/>
      </c>
      <c r="G265" t="str">
        <f t="shared" si="9"/>
        <v/>
      </c>
    </row>
    <row r="266" spans="6:7" x14ac:dyDescent="0.2">
      <c r="F266" t="str">
        <f t="shared" si="8"/>
        <v/>
      </c>
      <c r="G266" t="str">
        <f t="shared" si="9"/>
        <v/>
      </c>
    </row>
    <row r="267" spans="6:7" x14ac:dyDescent="0.2">
      <c r="F267" t="str">
        <f t="shared" si="8"/>
        <v/>
      </c>
      <c r="G267" t="str">
        <f t="shared" si="9"/>
        <v/>
      </c>
    </row>
    <row r="268" spans="6:7" x14ac:dyDescent="0.2">
      <c r="F268" t="str">
        <f t="shared" si="8"/>
        <v/>
      </c>
      <c r="G268" t="str">
        <f t="shared" si="9"/>
        <v/>
      </c>
    </row>
    <row r="269" spans="6:7" x14ac:dyDescent="0.2">
      <c r="F269" t="str">
        <f t="shared" si="8"/>
        <v/>
      </c>
      <c r="G269" t="str">
        <f t="shared" si="9"/>
        <v/>
      </c>
    </row>
    <row r="270" spans="6:7" x14ac:dyDescent="0.2">
      <c r="F270" t="str">
        <f t="shared" si="8"/>
        <v/>
      </c>
      <c r="G270" t="str">
        <f t="shared" si="9"/>
        <v/>
      </c>
    </row>
    <row r="271" spans="6:7" x14ac:dyDescent="0.2">
      <c r="F271" t="str">
        <f t="shared" si="8"/>
        <v/>
      </c>
      <c r="G271" t="str">
        <f t="shared" si="9"/>
        <v/>
      </c>
    </row>
    <row r="272" spans="6:7" x14ac:dyDescent="0.2">
      <c r="F272" t="str">
        <f t="shared" si="8"/>
        <v/>
      </c>
      <c r="G272" t="str">
        <f t="shared" si="9"/>
        <v/>
      </c>
    </row>
    <row r="273" spans="6:7" x14ac:dyDescent="0.2">
      <c r="F273" t="str">
        <f t="shared" si="8"/>
        <v/>
      </c>
      <c r="G273" t="str">
        <f t="shared" si="9"/>
        <v/>
      </c>
    </row>
    <row r="274" spans="6:7" x14ac:dyDescent="0.2">
      <c r="F274" t="str">
        <f t="shared" si="8"/>
        <v/>
      </c>
      <c r="G274" t="str">
        <f t="shared" si="9"/>
        <v/>
      </c>
    </row>
    <row r="275" spans="6:7" x14ac:dyDescent="0.2">
      <c r="F275" t="str">
        <f t="shared" si="8"/>
        <v/>
      </c>
      <c r="G275" t="str">
        <f t="shared" si="9"/>
        <v/>
      </c>
    </row>
    <row r="276" spans="6:7" x14ac:dyDescent="0.2">
      <c r="F276" t="str">
        <f t="shared" si="8"/>
        <v/>
      </c>
      <c r="G276" t="str">
        <f t="shared" si="9"/>
        <v/>
      </c>
    </row>
    <row r="277" spans="6:7" x14ac:dyDescent="0.2">
      <c r="F277" t="str">
        <f t="shared" si="8"/>
        <v/>
      </c>
      <c r="G277" t="str">
        <f t="shared" si="9"/>
        <v/>
      </c>
    </row>
    <row r="278" spans="6:7" x14ac:dyDescent="0.2">
      <c r="F278" t="str">
        <f t="shared" si="8"/>
        <v/>
      </c>
      <c r="G278" t="str">
        <f t="shared" si="9"/>
        <v/>
      </c>
    </row>
    <row r="279" spans="6:7" x14ac:dyDescent="0.2">
      <c r="F279" t="str">
        <f t="shared" si="8"/>
        <v/>
      </c>
      <c r="G279" t="str">
        <f t="shared" si="9"/>
        <v/>
      </c>
    </row>
    <row r="280" spans="6:7" x14ac:dyDescent="0.2">
      <c r="F280" t="str">
        <f t="shared" si="8"/>
        <v/>
      </c>
      <c r="G280" t="str">
        <f t="shared" si="9"/>
        <v/>
      </c>
    </row>
    <row r="281" spans="6:7" x14ac:dyDescent="0.2">
      <c r="F281" t="str">
        <f t="shared" si="8"/>
        <v/>
      </c>
      <c r="G281" t="str">
        <f t="shared" si="9"/>
        <v/>
      </c>
    </row>
    <row r="282" spans="6:7" x14ac:dyDescent="0.2">
      <c r="F282" t="str">
        <f t="shared" si="8"/>
        <v/>
      </c>
      <c r="G282" t="str">
        <f t="shared" si="9"/>
        <v/>
      </c>
    </row>
    <row r="283" spans="6:7" x14ac:dyDescent="0.2">
      <c r="F283" t="str">
        <f t="shared" si="8"/>
        <v/>
      </c>
      <c r="G283" t="str">
        <f t="shared" si="9"/>
        <v/>
      </c>
    </row>
    <row r="284" spans="6:7" x14ac:dyDescent="0.2">
      <c r="F284" t="str">
        <f t="shared" si="8"/>
        <v/>
      </c>
      <c r="G284" t="str">
        <f t="shared" si="9"/>
        <v/>
      </c>
    </row>
    <row r="285" spans="6:7" x14ac:dyDescent="0.2">
      <c r="F285" t="str">
        <f t="shared" si="8"/>
        <v/>
      </c>
      <c r="G285" t="str">
        <f t="shared" si="9"/>
        <v/>
      </c>
    </row>
    <row r="286" spans="6:7" x14ac:dyDescent="0.2">
      <c r="F286" t="str">
        <f t="shared" si="8"/>
        <v/>
      </c>
      <c r="G286" t="str">
        <f t="shared" si="9"/>
        <v/>
      </c>
    </row>
    <row r="287" spans="6:7" x14ac:dyDescent="0.2">
      <c r="F287" t="str">
        <f t="shared" si="8"/>
        <v/>
      </c>
      <c r="G287" t="str">
        <f t="shared" si="9"/>
        <v/>
      </c>
    </row>
    <row r="288" spans="6:7" x14ac:dyDescent="0.2">
      <c r="F288" t="str">
        <f t="shared" si="8"/>
        <v/>
      </c>
      <c r="G288" t="str">
        <f t="shared" si="9"/>
        <v/>
      </c>
    </row>
    <row r="289" spans="6:7" x14ac:dyDescent="0.2">
      <c r="F289" t="str">
        <f t="shared" si="8"/>
        <v/>
      </c>
      <c r="G289" t="str">
        <f t="shared" si="9"/>
        <v/>
      </c>
    </row>
    <row r="290" spans="6:7" x14ac:dyDescent="0.2">
      <c r="F290" t="str">
        <f t="shared" si="8"/>
        <v/>
      </c>
      <c r="G290" t="str">
        <f t="shared" si="9"/>
        <v/>
      </c>
    </row>
    <row r="291" spans="6:7" x14ac:dyDescent="0.2">
      <c r="F291" t="str">
        <f t="shared" si="8"/>
        <v/>
      </c>
      <c r="G291" t="str">
        <f t="shared" si="9"/>
        <v/>
      </c>
    </row>
    <row r="292" spans="6:7" x14ac:dyDescent="0.2">
      <c r="F292" t="str">
        <f t="shared" si="8"/>
        <v/>
      </c>
      <c r="G292" t="str">
        <f t="shared" si="9"/>
        <v/>
      </c>
    </row>
    <row r="293" spans="6:7" x14ac:dyDescent="0.2">
      <c r="F293" t="str">
        <f t="shared" si="8"/>
        <v/>
      </c>
      <c r="G293" t="str">
        <f t="shared" si="9"/>
        <v/>
      </c>
    </row>
    <row r="294" spans="6:7" x14ac:dyDescent="0.2">
      <c r="F294" t="str">
        <f t="shared" si="8"/>
        <v/>
      </c>
      <c r="G294" t="str">
        <f t="shared" si="9"/>
        <v/>
      </c>
    </row>
    <row r="295" spans="6:7" x14ac:dyDescent="0.2">
      <c r="F295" t="str">
        <f t="shared" si="8"/>
        <v/>
      </c>
      <c r="G295" t="str">
        <f t="shared" si="9"/>
        <v/>
      </c>
    </row>
    <row r="296" spans="6:7" x14ac:dyDescent="0.2">
      <c r="F296" t="str">
        <f t="shared" si="8"/>
        <v/>
      </c>
      <c r="G296" t="str">
        <f t="shared" si="9"/>
        <v/>
      </c>
    </row>
    <row r="297" spans="6:7" x14ac:dyDescent="0.2">
      <c r="F297" t="str">
        <f t="shared" si="8"/>
        <v/>
      </c>
      <c r="G297" t="str">
        <f t="shared" si="9"/>
        <v/>
      </c>
    </row>
    <row r="298" spans="6:7" x14ac:dyDescent="0.2">
      <c r="F298" t="str">
        <f t="shared" si="8"/>
        <v/>
      </c>
      <c r="G298" t="str">
        <f t="shared" si="9"/>
        <v/>
      </c>
    </row>
    <row r="299" spans="6:7" x14ac:dyDescent="0.2">
      <c r="F299" t="str">
        <f t="shared" si="8"/>
        <v/>
      </c>
      <c r="G299" t="str">
        <f t="shared" si="9"/>
        <v/>
      </c>
    </row>
    <row r="300" spans="6:7" x14ac:dyDescent="0.2">
      <c r="F300" t="str">
        <f t="shared" si="8"/>
        <v/>
      </c>
      <c r="G300" t="str">
        <f t="shared" si="9"/>
        <v/>
      </c>
    </row>
    <row r="301" spans="6:7" x14ac:dyDescent="0.2">
      <c r="F301" t="str">
        <f t="shared" si="8"/>
        <v/>
      </c>
      <c r="G301" t="str">
        <f t="shared" si="9"/>
        <v/>
      </c>
    </row>
    <row r="302" spans="6:7" x14ac:dyDescent="0.2">
      <c r="F302" t="str">
        <f t="shared" si="8"/>
        <v/>
      </c>
      <c r="G302" t="str">
        <f t="shared" si="9"/>
        <v/>
      </c>
    </row>
    <row r="303" spans="6:7" x14ac:dyDescent="0.2">
      <c r="F303" t="str">
        <f t="shared" si="8"/>
        <v/>
      </c>
      <c r="G303" t="str">
        <f t="shared" si="9"/>
        <v/>
      </c>
    </row>
    <row r="304" spans="6:7" x14ac:dyDescent="0.2">
      <c r="F304" t="str">
        <f t="shared" si="8"/>
        <v/>
      </c>
      <c r="G304" t="str">
        <f t="shared" si="9"/>
        <v/>
      </c>
    </row>
    <row r="305" spans="6:7" x14ac:dyDescent="0.2">
      <c r="F305" t="str">
        <f t="shared" si="8"/>
        <v/>
      </c>
      <c r="G305" t="str">
        <f t="shared" si="9"/>
        <v/>
      </c>
    </row>
    <row r="306" spans="6:7" x14ac:dyDescent="0.2">
      <c r="F306" t="str">
        <f t="shared" si="8"/>
        <v/>
      </c>
      <c r="G306" t="str">
        <f t="shared" si="9"/>
        <v/>
      </c>
    </row>
    <row r="307" spans="6:7" x14ac:dyDescent="0.2">
      <c r="F307" t="str">
        <f t="shared" si="8"/>
        <v/>
      </c>
      <c r="G307" t="str">
        <f t="shared" si="9"/>
        <v/>
      </c>
    </row>
    <row r="308" spans="6:7" x14ac:dyDescent="0.2">
      <c r="F308" t="str">
        <f t="shared" si="8"/>
        <v/>
      </c>
      <c r="G308" t="str">
        <f t="shared" si="9"/>
        <v/>
      </c>
    </row>
    <row r="309" spans="6:7" x14ac:dyDescent="0.2">
      <c r="F309" t="str">
        <f t="shared" si="8"/>
        <v/>
      </c>
      <c r="G309" t="str">
        <f t="shared" si="9"/>
        <v/>
      </c>
    </row>
    <row r="310" spans="6:7" x14ac:dyDescent="0.2">
      <c r="F310" t="str">
        <f t="shared" si="8"/>
        <v/>
      </c>
      <c r="G310" t="str">
        <f t="shared" si="9"/>
        <v/>
      </c>
    </row>
    <row r="311" spans="6:7" x14ac:dyDescent="0.2">
      <c r="F311" t="str">
        <f t="shared" si="8"/>
        <v/>
      </c>
      <c r="G311" t="str">
        <f t="shared" si="9"/>
        <v/>
      </c>
    </row>
    <row r="312" spans="6:7" x14ac:dyDescent="0.2">
      <c r="F312" t="str">
        <f t="shared" si="8"/>
        <v/>
      </c>
      <c r="G312" t="str">
        <f t="shared" si="9"/>
        <v/>
      </c>
    </row>
    <row r="313" spans="6:7" x14ac:dyDescent="0.2">
      <c r="F313" t="str">
        <f t="shared" si="8"/>
        <v/>
      </c>
      <c r="G313" t="str">
        <f t="shared" si="9"/>
        <v/>
      </c>
    </row>
    <row r="314" spans="6:7" x14ac:dyDescent="0.2">
      <c r="F314" t="str">
        <f t="shared" si="8"/>
        <v/>
      </c>
      <c r="G314" t="str">
        <f t="shared" si="9"/>
        <v/>
      </c>
    </row>
    <row r="315" spans="6:7" x14ac:dyDescent="0.2">
      <c r="F315" t="str">
        <f t="shared" si="8"/>
        <v/>
      </c>
      <c r="G315" t="str">
        <f t="shared" si="9"/>
        <v/>
      </c>
    </row>
    <row r="316" spans="6:7" x14ac:dyDescent="0.2">
      <c r="F316" t="str">
        <f t="shared" si="8"/>
        <v/>
      </c>
      <c r="G316" t="str">
        <f t="shared" si="9"/>
        <v/>
      </c>
    </row>
    <row r="317" spans="6:7" x14ac:dyDescent="0.2">
      <c r="F317" t="str">
        <f t="shared" si="8"/>
        <v/>
      </c>
      <c r="G317" t="str">
        <f t="shared" si="9"/>
        <v/>
      </c>
    </row>
    <row r="318" spans="6:7" x14ac:dyDescent="0.2">
      <c r="F318" t="str">
        <f t="shared" si="8"/>
        <v/>
      </c>
      <c r="G318" t="str">
        <f t="shared" si="9"/>
        <v/>
      </c>
    </row>
    <row r="319" spans="6:7" x14ac:dyDescent="0.2">
      <c r="F319" t="str">
        <f t="shared" si="8"/>
        <v/>
      </c>
      <c r="G319" t="str">
        <f t="shared" si="9"/>
        <v/>
      </c>
    </row>
    <row r="320" spans="6:7" x14ac:dyDescent="0.2">
      <c r="F320" t="str">
        <f t="shared" si="8"/>
        <v/>
      </c>
      <c r="G320" t="str">
        <f t="shared" si="9"/>
        <v/>
      </c>
    </row>
    <row r="321" spans="6:7" x14ac:dyDescent="0.2">
      <c r="F321" t="str">
        <f t="shared" si="8"/>
        <v/>
      </c>
      <c r="G321" t="str">
        <f t="shared" si="9"/>
        <v/>
      </c>
    </row>
    <row r="322" spans="6:7" x14ac:dyDescent="0.2">
      <c r="F322" t="str">
        <f t="shared" ref="F322:F385" si="10">IF(OR(D322="",E322=""),"",E322-D322)</f>
        <v/>
      </c>
      <c r="G322" t="str">
        <f t="shared" ref="G322:G385" si="11">IF(F322="","",IF(F322&gt;0,"ANO","NE"))</f>
        <v/>
      </c>
    </row>
    <row r="323" spans="6:7" x14ac:dyDescent="0.2">
      <c r="F323" t="str">
        <f t="shared" si="10"/>
        <v/>
      </c>
      <c r="G323" t="str">
        <f t="shared" si="11"/>
        <v/>
      </c>
    </row>
    <row r="324" spans="6:7" x14ac:dyDescent="0.2">
      <c r="F324" t="str">
        <f t="shared" si="10"/>
        <v/>
      </c>
      <c r="G324" t="str">
        <f t="shared" si="11"/>
        <v/>
      </c>
    </row>
    <row r="325" spans="6:7" x14ac:dyDescent="0.2">
      <c r="F325" t="str">
        <f t="shared" si="10"/>
        <v/>
      </c>
      <c r="G325" t="str">
        <f t="shared" si="11"/>
        <v/>
      </c>
    </row>
    <row r="326" spans="6:7" x14ac:dyDescent="0.2">
      <c r="F326" t="str">
        <f t="shared" si="10"/>
        <v/>
      </c>
      <c r="G326" t="str">
        <f t="shared" si="11"/>
        <v/>
      </c>
    </row>
    <row r="327" spans="6:7" x14ac:dyDescent="0.2">
      <c r="F327" t="str">
        <f t="shared" si="10"/>
        <v/>
      </c>
      <c r="G327" t="str">
        <f t="shared" si="11"/>
        <v/>
      </c>
    </row>
    <row r="328" spans="6:7" x14ac:dyDescent="0.2">
      <c r="F328" t="str">
        <f t="shared" si="10"/>
        <v/>
      </c>
      <c r="G328" t="str">
        <f t="shared" si="11"/>
        <v/>
      </c>
    </row>
    <row r="329" spans="6:7" x14ac:dyDescent="0.2">
      <c r="F329" t="str">
        <f t="shared" si="10"/>
        <v/>
      </c>
      <c r="G329" t="str">
        <f t="shared" si="11"/>
        <v/>
      </c>
    </row>
    <row r="330" spans="6:7" x14ac:dyDescent="0.2">
      <c r="F330" t="str">
        <f t="shared" si="10"/>
        <v/>
      </c>
      <c r="G330" t="str">
        <f t="shared" si="11"/>
        <v/>
      </c>
    </row>
    <row r="331" spans="6:7" x14ac:dyDescent="0.2">
      <c r="F331" t="str">
        <f t="shared" si="10"/>
        <v/>
      </c>
      <c r="G331" t="str">
        <f t="shared" si="11"/>
        <v/>
      </c>
    </row>
    <row r="332" spans="6:7" x14ac:dyDescent="0.2">
      <c r="F332" t="str">
        <f t="shared" si="10"/>
        <v/>
      </c>
      <c r="G332" t="str">
        <f t="shared" si="11"/>
        <v/>
      </c>
    </row>
    <row r="333" spans="6:7" x14ac:dyDescent="0.2">
      <c r="F333" t="str">
        <f t="shared" si="10"/>
        <v/>
      </c>
      <c r="G333" t="str">
        <f t="shared" si="11"/>
        <v/>
      </c>
    </row>
    <row r="334" spans="6:7" x14ac:dyDescent="0.2">
      <c r="F334" t="str">
        <f t="shared" si="10"/>
        <v/>
      </c>
      <c r="G334" t="str">
        <f t="shared" si="11"/>
        <v/>
      </c>
    </row>
    <row r="335" spans="6:7" x14ac:dyDescent="0.2">
      <c r="F335" t="str">
        <f t="shared" si="10"/>
        <v/>
      </c>
      <c r="G335" t="str">
        <f t="shared" si="11"/>
        <v/>
      </c>
    </row>
    <row r="336" spans="6:7" x14ac:dyDescent="0.2">
      <c r="F336" t="str">
        <f t="shared" si="10"/>
        <v/>
      </c>
      <c r="G336" t="str">
        <f t="shared" si="11"/>
        <v/>
      </c>
    </row>
    <row r="337" spans="6:7" x14ac:dyDescent="0.2">
      <c r="F337" t="str">
        <f t="shared" si="10"/>
        <v/>
      </c>
      <c r="G337" t="str">
        <f t="shared" si="11"/>
        <v/>
      </c>
    </row>
    <row r="338" spans="6:7" x14ac:dyDescent="0.2">
      <c r="F338" t="str">
        <f t="shared" si="10"/>
        <v/>
      </c>
      <c r="G338" t="str">
        <f t="shared" si="11"/>
        <v/>
      </c>
    </row>
    <row r="339" spans="6:7" x14ac:dyDescent="0.2">
      <c r="F339" t="str">
        <f t="shared" si="10"/>
        <v/>
      </c>
      <c r="G339" t="str">
        <f t="shared" si="11"/>
        <v/>
      </c>
    </row>
    <row r="340" spans="6:7" x14ac:dyDescent="0.2">
      <c r="F340" t="str">
        <f t="shared" si="10"/>
        <v/>
      </c>
      <c r="G340" t="str">
        <f t="shared" si="11"/>
        <v/>
      </c>
    </row>
    <row r="341" spans="6:7" x14ac:dyDescent="0.2">
      <c r="F341" t="str">
        <f t="shared" si="10"/>
        <v/>
      </c>
      <c r="G341" t="str">
        <f t="shared" si="11"/>
        <v/>
      </c>
    </row>
    <row r="342" spans="6:7" x14ac:dyDescent="0.2">
      <c r="F342" t="str">
        <f t="shared" si="10"/>
        <v/>
      </c>
      <c r="G342" t="str">
        <f t="shared" si="11"/>
        <v/>
      </c>
    </row>
    <row r="343" spans="6:7" x14ac:dyDescent="0.2">
      <c r="F343" t="str">
        <f t="shared" si="10"/>
        <v/>
      </c>
      <c r="G343" t="str">
        <f t="shared" si="11"/>
        <v/>
      </c>
    </row>
    <row r="344" spans="6:7" x14ac:dyDescent="0.2">
      <c r="F344" t="str">
        <f t="shared" si="10"/>
        <v/>
      </c>
      <c r="G344" t="str">
        <f t="shared" si="11"/>
        <v/>
      </c>
    </row>
    <row r="345" spans="6:7" x14ac:dyDescent="0.2">
      <c r="F345" t="str">
        <f t="shared" si="10"/>
        <v/>
      </c>
      <c r="G345" t="str">
        <f t="shared" si="11"/>
        <v/>
      </c>
    </row>
    <row r="346" spans="6:7" x14ac:dyDescent="0.2">
      <c r="F346" t="str">
        <f t="shared" si="10"/>
        <v/>
      </c>
      <c r="G346" t="str">
        <f t="shared" si="11"/>
        <v/>
      </c>
    </row>
    <row r="347" spans="6:7" x14ac:dyDescent="0.2">
      <c r="F347" t="str">
        <f t="shared" si="10"/>
        <v/>
      </c>
      <c r="G347" t="str">
        <f t="shared" si="11"/>
        <v/>
      </c>
    </row>
    <row r="348" spans="6:7" x14ac:dyDescent="0.2">
      <c r="F348" t="str">
        <f t="shared" si="10"/>
        <v/>
      </c>
      <c r="G348" t="str">
        <f t="shared" si="11"/>
        <v/>
      </c>
    </row>
    <row r="349" spans="6:7" x14ac:dyDescent="0.2">
      <c r="F349" t="str">
        <f t="shared" si="10"/>
        <v/>
      </c>
      <c r="G349" t="str">
        <f t="shared" si="11"/>
        <v/>
      </c>
    </row>
    <row r="350" spans="6:7" x14ac:dyDescent="0.2">
      <c r="F350" t="str">
        <f t="shared" si="10"/>
        <v/>
      </c>
      <c r="G350" t="str">
        <f t="shared" si="11"/>
        <v/>
      </c>
    </row>
    <row r="351" spans="6:7" x14ac:dyDescent="0.2">
      <c r="F351" t="str">
        <f t="shared" si="10"/>
        <v/>
      </c>
      <c r="G351" t="str">
        <f t="shared" si="11"/>
        <v/>
      </c>
    </row>
    <row r="352" spans="6:7" x14ac:dyDescent="0.2">
      <c r="F352" t="str">
        <f t="shared" si="10"/>
        <v/>
      </c>
      <c r="G352" t="str">
        <f t="shared" si="11"/>
        <v/>
      </c>
    </row>
    <row r="353" spans="6:7" x14ac:dyDescent="0.2">
      <c r="F353" t="str">
        <f t="shared" si="10"/>
        <v/>
      </c>
      <c r="G353" t="str">
        <f t="shared" si="11"/>
        <v/>
      </c>
    </row>
    <row r="354" spans="6:7" x14ac:dyDescent="0.2">
      <c r="F354" t="str">
        <f t="shared" si="10"/>
        <v/>
      </c>
      <c r="G354" t="str">
        <f t="shared" si="11"/>
        <v/>
      </c>
    </row>
    <row r="355" spans="6:7" x14ac:dyDescent="0.2">
      <c r="F355" t="str">
        <f t="shared" si="10"/>
        <v/>
      </c>
      <c r="G355" t="str">
        <f t="shared" si="11"/>
        <v/>
      </c>
    </row>
    <row r="356" spans="6:7" x14ac:dyDescent="0.2">
      <c r="F356" t="str">
        <f t="shared" si="10"/>
        <v/>
      </c>
      <c r="G356" t="str">
        <f t="shared" si="11"/>
        <v/>
      </c>
    </row>
    <row r="357" spans="6:7" x14ac:dyDescent="0.2">
      <c r="F357" t="str">
        <f t="shared" si="10"/>
        <v/>
      </c>
      <c r="G357" t="str">
        <f t="shared" si="11"/>
        <v/>
      </c>
    </row>
    <row r="358" spans="6:7" x14ac:dyDescent="0.2">
      <c r="F358" t="str">
        <f t="shared" si="10"/>
        <v/>
      </c>
      <c r="G358" t="str">
        <f t="shared" si="11"/>
        <v/>
      </c>
    </row>
    <row r="359" spans="6:7" x14ac:dyDescent="0.2">
      <c r="F359" t="str">
        <f t="shared" si="10"/>
        <v/>
      </c>
      <c r="G359" t="str">
        <f t="shared" si="11"/>
        <v/>
      </c>
    </row>
    <row r="360" spans="6:7" x14ac:dyDescent="0.2">
      <c r="F360" t="str">
        <f t="shared" si="10"/>
        <v/>
      </c>
      <c r="G360" t="str">
        <f t="shared" si="11"/>
        <v/>
      </c>
    </row>
    <row r="361" spans="6:7" x14ac:dyDescent="0.2">
      <c r="F361" t="str">
        <f t="shared" si="10"/>
        <v/>
      </c>
      <c r="G361" t="str">
        <f t="shared" si="11"/>
        <v/>
      </c>
    </row>
    <row r="362" spans="6:7" x14ac:dyDescent="0.2">
      <c r="F362" t="str">
        <f t="shared" si="10"/>
        <v/>
      </c>
      <c r="G362" t="str">
        <f t="shared" si="11"/>
        <v/>
      </c>
    </row>
    <row r="363" spans="6:7" x14ac:dyDescent="0.2">
      <c r="F363" t="str">
        <f t="shared" si="10"/>
        <v/>
      </c>
      <c r="G363" t="str">
        <f t="shared" si="11"/>
        <v/>
      </c>
    </row>
    <row r="364" spans="6:7" x14ac:dyDescent="0.2">
      <c r="F364" t="str">
        <f t="shared" si="10"/>
        <v/>
      </c>
      <c r="G364" t="str">
        <f t="shared" si="11"/>
        <v/>
      </c>
    </row>
    <row r="365" spans="6:7" x14ac:dyDescent="0.2">
      <c r="F365" t="str">
        <f t="shared" si="10"/>
        <v/>
      </c>
      <c r="G365" t="str">
        <f t="shared" si="11"/>
        <v/>
      </c>
    </row>
    <row r="366" spans="6:7" x14ac:dyDescent="0.2">
      <c r="F366" t="str">
        <f t="shared" si="10"/>
        <v/>
      </c>
      <c r="G366" t="str">
        <f t="shared" si="11"/>
        <v/>
      </c>
    </row>
    <row r="367" spans="6:7" x14ac:dyDescent="0.2">
      <c r="F367" t="str">
        <f t="shared" si="10"/>
        <v/>
      </c>
      <c r="G367" t="str">
        <f t="shared" si="11"/>
        <v/>
      </c>
    </row>
    <row r="368" spans="6:7" x14ac:dyDescent="0.2">
      <c r="F368" t="str">
        <f t="shared" si="10"/>
        <v/>
      </c>
      <c r="G368" t="str">
        <f t="shared" si="11"/>
        <v/>
      </c>
    </row>
    <row r="369" spans="6:7" x14ac:dyDescent="0.2">
      <c r="F369" t="str">
        <f t="shared" si="10"/>
        <v/>
      </c>
      <c r="G369" t="str">
        <f t="shared" si="11"/>
        <v/>
      </c>
    </row>
    <row r="370" spans="6:7" x14ac:dyDescent="0.2">
      <c r="F370" t="str">
        <f t="shared" si="10"/>
        <v/>
      </c>
      <c r="G370" t="str">
        <f t="shared" si="11"/>
        <v/>
      </c>
    </row>
    <row r="371" spans="6:7" x14ac:dyDescent="0.2">
      <c r="F371" t="str">
        <f t="shared" si="10"/>
        <v/>
      </c>
      <c r="G371" t="str">
        <f t="shared" si="11"/>
        <v/>
      </c>
    </row>
    <row r="372" spans="6:7" x14ac:dyDescent="0.2">
      <c r="F372" t="str">
        <f t="shared" si="10"/>
        <v/>
      </c>
      <c r="G372" t="str">
        <f t="shared" si="11"/>
        <v/>
      </c>
    </row>
    <row r="373" spans="6:7" x14ac:dyDescent="0.2">
      <c r="F373" t="str">
        <f t="shared" si="10"/>
        <v/>
      </c>
      <c r="G373" t="str">
        <f t="shared" si="11"/>
        <v/>
      </c>
    </row>
    <row r="374" spans="6:7" x14ac:dyDescent="0.2">
      <c r="F374" t="str">
        <f t="shared" si="10"/>
        <v/>
      </c>
      <c r="G374" t="str">
        <f t="shared" si="11"/>
        <v/>
      </c>
    </row>
    <row r="375" spans="6:7" x14ac:dyDescent="0.2">
      <c r="F375" t="str">
        <f t="shared" si="10"/>
        <v/>
      </c>
      <c r="G375" t="str">
        <f t="shared" si="11"/>
        <v/>
      </c>
    </row>
    <row r="376" spans="6:7" x14ac:dyDescent="0.2">
      <c r="F376" t="str">
        <f t="shared" si="10"/>
        <v/>
      </c>
      <c r="G376" t="str">
        <f t="shared" si="11"/>
        <v/>
      </c>
    </row>
    <row r="377" spans="6:7" x14ac:dyDescent="0.2">
      <c r="F377" t="str">
        <f t="shared" si="10"/>
        <v/>
      </c>
      <c r="G377" t="str">
        <f t="shared" si="11"/>
        <v/>
      </c>
    </row>
    <row r="378" spans="6:7" x14ac:dyDescent="0.2">
      <c r="F378" t="str">
        <f t="shared" si="10"/>
        <v/>
      </c>
      <c r="G378" t="str">
        <f t="shared" si="11"/>
        <v/>
      </c>
    </row>
    <row r="379" spans="6:7" x14ac:dyDescent="0.2">
      <c r="F379" t="str">
        <f t="shared" si="10"/>
        <v/>
      </c>
      <c r="G379" t="str">
        <f t="shared" si="11"/>
        <v/>
      </c>
    </row>
    <row r="380" spans="6:7" x14ac:dyDescent="0.2">
      <c r="F380" t="str">
        <f t="shared" si="10"/>
        <v/>
      </c>
      <c r="G380" t="str">
        <f t="shared" si="11"/>
        <v/>
      </c>
    </row>
    <row r="381" spans="6:7" x14ac:dyDescent="0.2">
      <c r="F381" t="str">
        <f t="shared" si="10"/>
        <v/>
      </c>
      <c r="G381" t="str">
        <f t="shared" si="11"/>
        <v/>
      </c>
    </row>
    <row r="382" spans="6:7" x14ac:dyDescent="0.2">
      <c r="F382" t="str">
        <f t="shared" si="10"/>
        <v/>
      </c>
      <c r="G382" t="str">
        <f t="shared" si="11"/>
        <v/>
      </c>
    </row>
    <row r="383" spans="6:7" x14ac:dyDescent="0.2">
      <c r="F383" t="str">
        <f t="shared" si="10"/>
        <v/>
      </c>
      <c r="G383" t="str">
        <f t="shared" si="11"/>
        <v/>
      </c>
    </row>
    <row r="384" spans="6:7" x14ac:dyDescent="0.2">
      <c r="F384" t="str">
        <f t="shared" si="10"/>
        <v/>
      </c>
      <c r="G384" t="str">
        <f t="shared" si="11"/>
        <v/>
      </c>
    </row>
    <row r="385" spans="6:7" x14ac:dyDescent="0.2">
      <c r="F385" t="str">
        <f t="shared" si="10"/>
        <v/>
      </c>
      <c r="G385" t="str">
        <f t="shared" si="11"/>
        <v/>
      </c>
    </row>
    <row r="386" spans="6:7" x14ac:dyDescent="0.2">
      <c r="F386" t="str">
        <f t="shared" ref="F386:F449" si="12">IF(OR(D386="",E386=""),"",E386-D386)</f>
        <v/>
      </c>
      <c r="G386" t="str">
        <f t="shared" ref="G386:G449" si="13">IF(F386="","",IF(F386&gt;0,"ANO","NE"))</f>
        <v/>
      </c>
    </row>
    <row r="387" spans="6:7" x14ac:dyDescent="0.2">
      <c r="F387" t="str">
        <f t="shared" si="12"/>
        <v/>
      </c>
      <c r="G387" t="str">
        <f t="shared" si="13"/>
        <v/>
      </c>
    </row>
    <row r="388" spans="6:7" x14ac:dyDescent="0.2">
      <c r="F388" t="str">
        <f t="shared" si="12"/>
        <v/>
      </c>
      <c r="G388" t="str">
        <f t="shared" si="13"/>
        <v/>
      </c>
    </row>
    <row r="389" spans="6:7" x14ac:dyDescent="0.2">
      <c r="F389" t="str">
        <f t="shared" si="12"/>
        <v/>
      </c>
      <c r="G389" t="str">
        <f t="shared" si="13"/>
        <v/>
      </c>
    </row>
    <row r="390" spans="6:7" x14ac:dyDescent="0.2">
      <c r="F390" t="str">
        <f t="shared" si="12"/>
        <v/>
      </c>
      <c r="G390" t="str">
        <f t="shared" si="13"/>
        <v/>
      </c>
    </row>
    <row r="391" spans="6:7" x14ac:dyDescent="0.2">
      <c r="F391" t="str">
        <f t="shared" si="12"/>
        <v/>
      </c>
      <c r="G391" t="str">
        <f t="shared" si="13"/>
        <v/>
      </c>
    </row>
    <row r="392" spans="6:7" x14ac:dyDescent="0.2">
      <c r="F392" t="str">
        <f t="shared" si="12"/>
        <v/>
      </c>
      <c r="G392" t="str">
        <f t="shared" si="13"/>
        <v/>
      </c>
    </row>
    <row r="393" spans="6:7" x14ac:dyDescent="0.2">
      <c r="F393" t="str">
        <f t="shared" si="12"/>
        <v/>
      </c>
      <c r="G393" t="str">
        <f t="shared" si="13"/>
        <v/>
      </c>
    </row>
    <row r="394" spans="6:7" x14ac:dyDescent="0.2">
      <c r="F394" t="str">
        <f t="shared" si="12"/>
        <v/>
      </c>
      <c r="G394" t="str">
        <f t="shared" si="13"/>
        <v/>
      </c>
    </row>
    <row r="395" spans="6:7" x14ac:dyDescent="0.2">
      <c r="F395" t="str">
        <f t="shared" si="12"/>
        <v/>
      </c>
      <c r="G395" t="str">
        <f t="shared" si="13"/>
        <v/>
      </c>
    </row>
    <row r="396" spans="6:7" x14ac:dyDescent="0.2">
      <c r="F396" t="str">
        <f t="shared" si="12"/>
        <v/>
      </c>
      <c r="G396" t="str">
        <f t="shared" si="13"/>
        <v/>
      </c>
    </row>
    <row r="397" spans="6:7" x14ac:dyDescent="0.2">
      <c r="F397" t="str">
        <f t="shared" si="12"/>
        <v/>
      </c>
      <c r="G397" t="str">
        <f t="shared" si="13"/>
        <v/>
      </c>
    </row>
    <row r="398" spans="6:7" x14ac:dyDescent="0.2">
      <c r="F398" t="str">
        <f t="shared" si="12"/>
        <v/>
      </c>
      <c r="G398" t="str">
        <f t="shared" si="13"/>
        <v/>
      </c>
    </row>
    <row r="399" spans="6:7" x14ac:dyDescent="0.2">
      <c r="F399" t="str">
        <f t="shared" si="12"/>
        <v/>
      </c>
      <c r="G399" t="str">
        <f t="shared" si="13"/>
        <v/>
      </c>
    </row>
    <row r="400" spans="6:7" x14ac:dyDescent="0.2">
      <c r="F400" t="str">
        <f t="shared" si="12"/>
        <v/>
      </c>
      <c r="G400" t="str">
        <f t="shared" si="13"/>
        <v/>
      </c>
    </row>
    <row r="401" spans="6:7" x14ac:dyDescent="0.2">
      <c r="F401" t="str">
        <f t="shared" si="12"/>
        <v/>
      </c>
      <c r="G401" t="str">
        <f t="shared" si="13"/>
        <v/>
      </c>
    </row>
    <row r="402" spans="6:7" x14ac:dyDescent="0.2">
      <c r="F402" t="str">
        <f t="shared" si="12"/>
        <v/>
      </c>
      <c r="G402" t="str">
        <f t="shared" si="13"/>
        <v/>
      </c>
    </row>
    <row r="403" spans="6:7" x14ac:dyDescent="0.2">
      <c r="F403" t="str">
        <f t="shared" si="12"/>
        <v/>
      </c>
      <c r="G403" t="str">
        <f t="shared" si="13"/>
        <v/>
      </c>
    </row>
    <row r="404" spans="6:7" x14ac:dyDescent="0.2">
      <c r="F404" t="str">
        <f t="shared" si="12"/>
        <v/>
      </c>
      <c r="G404" t="str">
        <f t="shared" si="13"/>
        <v/>
      </c>
    </row>
    <row r="405" spans="6:7" x14ac:dyDescent="0.2">
      <c r="F405" t="str">
        <f t="shared" si="12"/>
        <v/>
      </c>
      <c r="G405" t="str">
        <f t="shared" si="13"/>
        <v/>
      </c>
    </row>
    <row r="406" spans="6:7" x14ac:dyDescent="0.2">
      <c r="F406" t="str">
        <f t="shared" si="12"/>
        <v/>
      </c>
      <c r="G406" t="str">
        <f t="shared" si="13"/>
        <v/>
      </c>
    </row>
    <row r="407" spans="6:7" x14ac:dyDescent="0.2">
      <c r="F407" t="str">
        <f t="shared" si="12"/>
        <v/>
      </c>
      <c r="G407" t="str">
        <f t="shared" si="13"/>
        <v/>
      </c>
    </row>
    <row r="408" spans="6:7" x14ac:dyDescent="0.2">
      <c r="F408" t="str">
        <f t="shared" si="12"/>
        <v/>
      </c>
      <c r="G408" t="str">
        <f t="shared" si="13"/>
        <v/>
      </c>
    </row>
    <row r="409" spans="6:7" x14ac:dyDescent="0.2">
      <c r="F409" t="str">
        <f t="shared" si="12"/>
        <v/>
      </c>
      <c r="G409" t="str">
        <f t="shared" si="13"/>
        <v/>
      </c>
    </row>
    <row r="410" spans="6:7" x14ac:dyDescent="0.2">
      <c r="F410" t="str">
        <f t="shared" si="12"/>
        <v/>
      </c>
      <c r="G410" t="str">
        <f t="shared" si="13"/>
        <v/>
      </c>
    </row>
    <row r="411" spans="6:7" x14ac:dyDescent="0.2">
      <c r="F411" t="str">
        <f t="shared" si="12"/>
        <v/>
      </c>
      <c r="G411" t="str">
        <f t="shared" si="13"/>
        <v/>
      </c>
    </row>
    <row r="412" spans="6:7" x14ac:dyDescent="0.2">
      <c r="F412" t="str">
        <f t="shared" si="12"/>
        <v/>
      </c>
      <c r="G412" t="str">
        <f t="shared" si="13"/>
        <v/>
      </c>
    </row>
    <row r="413" spans="6:7" x14ac:dyDescent="0.2">
      <c r="F413" t="str">
        <f t="shared" si="12"/>
        <v/>
      </c>
      <c r="G413" t="str">
        <f t="shared" si="13"/>
        <v/>
      </c>
    </row>
    <row r="414" spans="6:7" x14ac:dyDescent="0.2">
      <c r="F414" t="str">
        <f t="shared" si="12"/>
        <v/>
      </c>
      <c r="G414" t="str">
        <f t="shared" si="13"/>
        <v/>
      </c>
    </row>
    <row r="415" spans="6:7" x14ac:dyDescent="0.2">
      <c r="F415" t="str">
        <f t="shared" si="12"/>
        <v/>
      </c>
      <c r="G415" t="str">
        <f t="shared" si="13"/>
        <v/>
      </c>
    </row>
    <row r="416" spans="6:7" x14ac:dyDescent="0.2">
      <c r="F416" t="str">
        <f t="shared" si="12"/>
        <v/>
      </c>
      <c r="G416" t="str">
        <f t="shared" si="13"/>
        <v/>
      </c>
    </row>
    <row r="417" spans="6:7" x14ac:dyDescent="0.2">
      <c r="F417" t="str">
        <f t="shared" si="12"/>
        <v/>
      </c>
      <c r="G417" t="str">
        <f t="shared" si="13"/>
        <v/>
      </c>
    </row>
    <row r="418" spans="6:7" x14ac:dyDescent="0.2">
      <c r="F418" t="str">
        <f t="shared" si="12"/>
        <v/>
      </c>
      <c r="G418" t="str">
        <f t="shared" si="13"/>
        <v/>
      </c>
    </row>
    <row r="419" spans="6:7" x14ac:dyDescent="0.2">
      <c r="F419" t="str">
        <f t="shared" si="12"/>
        <v/>
      </c>
      <c r="G419" t="str">
        <f t="shared" si="13"/>
        <v/>
      </c>
    </row>
    <row r="420" spans="6:7" x14ac:dyDescent="0.2">
      <c r="F420" t="str">
        <f t="shared" si="12"/>
        <v/>
      </c>
      <c r="G420" t="str">
        <f t="shared" si="13"/>
        <v/>
      </c>
    </row>
    <row r="421" spans="6:7" x14ac:dyDescent="0.2">
      <c r="F421" t="str">
        <f t="shared" si="12"/>
        <v/>
      </c>
      <c r="G421" t="str">
        <f t="shared" si="13"/>
        <v/>
      </c>
    </row>
    <row r="422" spans="6:7" x14ac:dyDescent="0.2">
      <c r="F422" t="str">
        <f t="shared" si="12"/>
        <v/>
      </c>
      <c r="G422" t="str">
        <f t="shared" si="13"/>
        <v/>
      </c>
    </row>
    <row r="423" spans="6:7" x14ac:dyDescent="0.2">
      <c r="F423" t="str">
        <f t="shared" si="12"/>
        <v/>
      </c>
      <c r="G423" t="str">
        <f t="shared" si="13"/>
        <v/>
      </c>
    </row>
    <row r="424" spans="6:7" x14ac:dyDescent="0.2">
      <c r="F424" t="str">
        <f t="shared" si="12"/>
        <v/>
      </c>
      <c r="G424" t="str">
        <f t="shared" si="13"/>
        <v/>
      </c>
    </row>
    <row r="425" spans="6:7" x14ac:dyDescent="0.2">
      <c r="F425" t="str">
        <f t="shared" si="12"/>
        <v/>
      </c>
      <c r="G425" t="str">
        <f t="shared" si="13"/>
        <v/>
      </c>
    </row>
    <row r="426" spans="6:7" x14ac:dyDescent="0.2">
      <c r="F426" t="str">
        <f t="shared" si="12"/>
        <v/>
      </c>
      <c r="G426" t="str">
        <f t="shared" si="13"/>
        <v/>
      </c>
    </row>
    <row r="427" spans="6:7" x14ac:dyDescent="0.2">
      <c r="F427" t="str">
        <f t="shared" si="12"/>
        <v/>
      </c>
      <c r="G427" t="str">
        <f t="shared" si="13"/>
        <v/>
      </c>
    </row>
    <row r="428" spans="6:7" x14ac:dyDescent="0.2">
      <c r="F428" t="str">
        <f t="shared" si="12"/>
        <v/>
      </c>
      <c r="G428" t="str">
        <f t="shared" si="13"/>
        <v/>
      </c>
    </row>
    <row r="429" spans="6:7" x14ac:dyDescent="0.2">
      <c r="F429" t="str">
        <f t="shared" si="12"/>
        <v/>
      </c>
      <c r="G429" t="str">
        <f t="shared" si="13"/>
        <v/>
      </c>
    </row>
    <row r="430" spans="6:7" x14ac:dyDescent="0.2">
      <c r="F430" t="str">
        <f t="shared" si="12"/>
        <v/>
      </c>
      <c r="G430" t="str">
        <f t="shared" si="13"/>
        <v/>
      </c>
    </row>
    <row r="431" spans="6:7" x14ac:dyDescent="0.2">
      <c r="F431" t="str">
        <f t="shared" si="12"/>
        <v/>
      </c>
      <c r="G431" t="str">
        <f t="shared" si="13"/>
        <v/>
      </c>
    </row>
    <row r="432" spans="6:7" x14ac:dyDescent="0.2">
      <c r="F432" t="str">
        <f t="shared" si="12"/>
        <v/>
      </c>
      <c r="G432" t="str">
        <f t="shared" si="13"/>
        <v/>
      </c>
    </row>
    <row r="433" spans="6:7" x14ac:dyDescent="0.2">
      <c r="F433" t="str">
        <f t="shared" si="12"/>
        <v/>
      </c>
      <c r="G433" t="str">
        <f t="shared" si="13"/>
        <v/>
      </c>
    </row>
    <row r="434" spans="6:7" x14ac:dyDescent="0.2">
      <c r="F434" t="str">
        <f t="shared" si="12"/>
        <v/>
      </c>
      <c r="G434" t="str">
        <f t="shared" si="13"/>
        <v/>
      </c>
    </row>
    <row r="435" spans="6:7" x14ac:dyDescent="0.2">
      <c r="F435" t="str">
        <f t="shared" si="12"/>
        <v/>
      </c>
      <c r="G435" t="str">
        <f t="shared" si="13"/>
        <v/>
      </c>
    </row>
    <row r="436" spans="6:7" x14ac:dyDescent="0.2">
      <c r="F436" t="str">
        <f t="shared" si="12"/>
        <v/>
      </c>
      <c r="G436" t="str">
        <f t="shared" si="13"/>
        <v/>
      </c>
    </row>
    <row r="437" spans="6:7" x14ac:dyDescent="0.2">
      <c r="F437" t="str">
        <f t="shared" si="12"/>
        <v/>
      </c>
      <c r="G437" t="str">
        <f t="shared" si="13"/>
        <v/>
      </c>
    </row>
    <row r="438" spans="6:7" x14ac:dyDescent="0.2">
      <c r="F438" t="str">
        <f t="shared" si="12"/>
        <v/>
      </c>
      <c r="G438" t="str">
        <f t="shared" si="13"/>
        <v/>
      </c>
    </row>
    <row r="439" spans="6:7" x14ac:dyDescent="0.2">
      <c r="F439" t="str">
        <f t="shared" si="12"/>
        <v/>
      </c>
      <c r="G439" t="str">
        <f t="shared" si="13"/>
        <v/>
      </c>
    </row>
    <row r="440" spans="6:7" x14ac:dyDescent="0.2">
      <c r="F440" t="str">
        <f t="shared" si="12"/>
        <v/>
      </c>
      <c r="G440" t="str">
        <f t="shared" si="13"/>
        <v/>
      </c>
    </row>
    <row r="441" spans="6:7" x14ac:dyDescent="0.2">
      <c r="F441" t="str">
        <f t="shared" si="12"/>
        <v/>
      </c>
      <c r="G441" t="str">
        <f t="shared" si="13"/>
        <v/>
      </c>
    </row>
    <row r="442" spans="6:7" x14ac:dyDescent="0.2">
      <c r="F442" t="str">
        <f t="shared" si="12"/>
        <v/>
      </c>
      <c r="G442" t="str">
        <f t="shared" si="13"/>
        <v/>
      </c>
    </row>
    <row r="443" spans="6:7" x14ac:dyDescent="0.2">
      <c r="F443" t="str">
        <f t="shared" si="12"/>
        <v/>
      </c>
      <c r="G443" t="str">
        <f t="shared" si="13"/>
        <v/>
      </c>
    </row>
    <row r="444" spans="6:7" x14ac:dyDescent="0.2">
      <c r="F444" t="str">
        <f t="shared" si="12"/>
        <v/>
      </c>
      <c r="G444" t="str">
        <f t="shared" si="13"/>
        <v/>
      </c>
    </row>
    <row r="445" spans="6:7" x14ac:dyDescent="0.2">
      <c r="F445" t="str">
        <f t="shared" si="12"/>
        <v/>
      </c>
      <c r="G445" t="str">
        <f t="shared" si="13"/>
        <v/>
      </c>
    </row>
    <row r="446" spans="6:7" x14ac:dyDescent="0.2">
      <c r="F446" t="str">
        <f t="shared" si="12"/>
        <v/>
      </c>
      <c r="G446" t="str">
        <f t="shared" si="13"/>
        <v/>
      </c>
    </row>
    <row r="447" spans="6:7" x14ac:dyDescent="0.2">
      <c r="F447" t="str">
        <f t="shared" si="12"/>
        <v/>
      </c>
      <c r="G447" t="str">
        <f t="shared" si="13"/>
        <v/>
      </c>
    </row>
    <row r="448" spans="6:7" x14ac:dyDescent="0.2">
      <c r="F448" t="str">
        <f t="shared" si="12"/>
        <v/>
      </c>
      <c r="G448" t="str">
        <f t="shared" si="13"/>
        <v/>
      </c>
    </row>
    <row r="449" spans="6:7" x14ac:dyDescent="0.2">
      <c r="F449" t="str">
        <f t="shared" si="12"/>
        <v/>
      </c>
      <c r="G449" t="str">
        <f t="shared" si="13"/>
        <v/>
      </c>
    </row>
    <row r="450" spans="6:7" x14ac:dyDescent="0.2">
      <c r="F450" t="str">
        <f t="shared" ref="F450:F513" si="14">IF(OR(D450="",E450=""),"",E450-D450)</f>
        <v/>
      </c>
      <c r="G450" t="str">
        <f t="shared" ref="G450:G513" si="15">IF(F450="","",IF(F450&gt;0,"ANO","NE"))</f>
        <v/>
      </c>
    </row>
    <row r="451" spans="6:7" x14ac:dyDescent="0.2">
      <c r="F451" t="str">
        <f t="shared" si="14"/>
        <v/>
      </c>
      <c r="G451" t="str">
        <f t="shared" si="15"/>
        <v/>
      </c>
    </row>
    <row r="452" spans="6:7" x14ac:dyDescent="0.2">
      <c r="F452" t="str">
        <f t="shared" si="14"/>
        <v/>
      </c>
      <c r="G452" t="str">
        <f t="shared" si="15"/>
        <v/>
      </c>
    </row>
    <row r="453" spans="6:7" x14ac:dyDescent="0.2">
      <c r="F453" t="str">
        <f t="shared" si="14"/>
        <v/>
      </c>
      <c r="G453" t="str">
        <f t="shared" si="15"/>
        <v/>
      </c>
    </row>
    <row r="454" spans="6:7" x14ac:dyDescent="0.2">
      <c r="F454" t="str">
        <f t="shared" si="14"/>
        <v/>
      </c>
      <c r="G454" t="str">
        <f t="shared" si="15"/>
        <v/>
      </c>
    </row>
    <row r="455" spans="6:7" x14ac:dyDescent="0.2">
      <c r="F455" t="str">
        <f t="shared" si="14"/>
        <v/>
      </c>
      <c r="G455" t="str">
        <f t="shared" si="15"/>
        <v/>
      </c>
    </row>
    <row r="456" spans="6:7" x14ac:dyDescent="0.2">
      <c r="F456" t="str">
        <f t="shared" si="14"/>
        <v/>
      </c>
      <c r="G456" t="str">
        <f t="shared" si="15"/>
        <v/>
      </c>
    </row>
    <row r="457" spans="6:7" x14ac:dyDescent="0.2">
      <c r="F457" t="str">
        <f t="shared" si="14"/>
        <v/>
      </c>
      <c r="G457" t="str">
        <f t="shared" si="15"/>
        <v/>
      </c>
    </row>
    <row r="458" spans="6:7" x14ac:dyDescent="0.2">
      <c r="F458" t="str">
        <f t="shared" si="14"/>
        <v/>
      </c>
      <c r="G458" t="str">
        <f t="shared" si="15"/>
        <v/>
      </c>
    </row>
    <row r="459" spans="6:7" x14ac:dyDescent="0.2">
      <c r="F459" t="str">
        <f t="shared" si="14"/>
        <v/>
      </c>
      <c r="G459" t="str">
        <f t="shared" si="15"/>
        <v/>
      </c>
    </row>
    <row r="460" spans="6:7" x14ac:dyDescent="0.2">
      <c r="F460" t="str">
        <f t="shared" si="14"/>
        <v/>
      </c>
      <c r="G460" t="str">
        <f t="shared" si="15"/>
        <v/>
      </c>
    </row>
    <row r="461" spans="6:7" x14ac:dyDescent="0.2">
      <c r="F461" t="str">
        <f t="shared" si="14"/>
        <v/>
      </c>
      <c r="G461" t="str">
        <f t="shared" si="15"/>
        <v/>
      </c>
    </row>
    <row r="462" spans="6:7" x14ac:dyDescent="0.2">
      <c r="F462" t="str">
        <f t="shared" si="14"/>
        <v/>
      </c>
      <c r="G462" t="str">
        <f t="shared" si="15"/>
        <v/>
      </c>
    </row>
    <row r="463" spans="6:7" x14ac:dyDescent="0.2">
      <c r="F463" t="str">
        <f t="shared" si="14"/>
        <v/>
      </c>
      <c r="G463" t="str">
        <f t="shared" si="15"/>
        <v/>
      </c>
    </row>
    <row r="464" spans="6:7" x14ac:dyDescent="0.2">
      <c r="F464" t="str">
        <f t="shared" si="14"/>
        <v/>
      </c>
      <c r="G464" t="str">
        <f t="shared" si="15"/>
        <v/>
      </c>
    </row>
    <row r="465" spans="6:7" x14ac:dyDescent="0.2">
      <c r="F465" t="str">
        <f t="shared" si="14"/>
        <v/>
      </c>
      <c r="G465" t="str">
        <f t="shared" si="15"/>
        <v/>
      </c>
    </row>
    <row r="466" spans="6:7" x14ac:dyDescent="0.2">
      <c r="F466" t="str">
        <f t="shared" si="14"/>
        <v/>
      </c>
      <c r="G466" t="str">
        <f t="shared" si="15"/>
        <v/>
      </c>
    </row>
    <row r="467" spans="6:7" x14ac:dyDescent="0.2">
      <c r="F467" t="str">
        <f t="shared" si="14"/>
        <v/>
      </c>
      <c r="G467" t="str">
        <f t="shared" si="15"/>
        <v/>
      </c>
    </row>
    <row r="468" spans="6:7" x14ac:dyDescent="0.2">
      <c r="F468" t="str">
        <f t="shared" si="14"/>
        <v/>
      </c>
      <c r="G468" t="str">
        <f t="shared" si="15"/>
        <v/>
      </c>
    </row>
    <row r="469" spans="6:7" x14ac:dyDescent="0.2">
      <c r="F469" t="str">
        <f t="shared" si="14"/>
        <v/>
      </c>
      <c r="G469" t="str">
        <f t="shared" si="15"/>
        <v/>
      </c>
    </row>
    <row r="470" spans="6:7" x14ac:dyDescent="0.2">
      <c r="F470" t="str">
        <f t="shared" si="14"/>
        <v/>
      </c>
      <c r="G470" t="str">
        <f t="shared" si="15"/>
        <v/>
      </c>
    </row>
    <row r="471" spans="6:7" x14ac:dyDescent="0.2">
      <c r="F471" t="str">
        <f t="shared" si="14"/>
        <v/>
      </c>
      <c r="G471" t="str">
        <f t="shared" si="15"/>
        <v/>
      </c>
    </row>
    <row r="472" spans="6:7" x14ac:dyDescent="0.2">
      <c r="F472" t="str">
        <f t="shared" si="14"/>
        <v/>
      </c>
      <c r="G472" t="str">
        <f t="shared" si="15"/>
        <v/>
      </c>
    </row>
    <row r="473" spans="6:7" x14ac:dyDescent="0.2">
      <c r="F473" t="str">
        <f t="shared" si="14"/>
        <v/>
      </c>
      <c r="G473" t="str">
        <f t="shared" si="15"/>
        <v/>
      </c>
    </row>
    <row r="474" spans="6:7" x14ac:dyDescent="0.2">
      <c r="F474" t="str">
        <f t="shared" si="14"/>
        <v/>
      </c>
      <c r="G474" t="str">
        <f t="shared" si="15"/>
        <v/>
      </c>
    </row>
    <row r="475" spans="6:7" x14ac:dyDescent="0.2">
      <c r="F475" t="str">
        <f t="shared" si="14"/>
        <v/>
      </c>
      <c r="G475" t="str">
        <f t="shared" si="15"/>
        <v/>
      </c>
    </row>
    <row r="476" spans="6:7" x14ac:dyDescent="0.2">
      <c r="F476" t="str">
        <f t="shared" si="14"/>
        <v/>
      </c>
      <c r="G476" t="str">
        <f t="shared" si="15"/>
        <v/>
      </c>
    </row>
    <row r="477" spans="6:7" x14ac:dyDescent="0.2">
      <c r="F477" t="str">
        <f t="shared" si="14"/>
        <v/>
      </c>
      <c r="G477" t="str">
        <f t="shared" si="15"/>
        <v/>
      </c>
    </row>
    <row r="478" spans="6:7" x14ac:dyDescent="0.2">
      <c r="F478" t="str">
        <f t="shared" si="14"/>
        <v/>
      </c>
      <c r="G478" t="str">
        <f t="shared" si="15"/>
        <v/>
      </c>
    </row>
    <row r="479" spans="6:7" x14ac:dyDescent="0.2">
      <c r="F479" t="str">
        <f t="shared" si="14"/>
        <v/>
      </c>
      <c r="G479" t="str">
        <f t="shared" si="15"/>
        <v/>
      </c>
    </row>
    <row r="480" spans="6:7" x14ac:dyDescent="0.2">
      <c r="F480" t="str">
        <f t="shared" si="14"/>
        <v/>
      </c>
      <c r="G480" t="str">
        <f t="shared" si="15"/>
        <v/>
      </c>
    </row>
    <row r="481" spans="6:7" x14ac:dyDescent="0.2">
      <c r="F481" t="str">
        <f t="shared" si="14"/>
        <v/>
      </c>
      <c r="G481" t="str">
        <f t="shared" si="15"/>
        <v/>
      </c>
    </row>
    <row r="482" spans="6:7" x14ac:dyDescent="0.2">
      <c r="F482" t="str">
        <f t="shared" si="14"/>
        <v/>
      </c>
      <c r="G482" t="str">
        <f t="shared" si="15"/>
        <v/>
      </c>
    </row>
    <row r="483" spans="6:7" x14ac:dyDescent="0.2">
      <c r="F483" t="str">
        <f t="shared" si="14"/>
        <v/>
      </c>
      <c r="G483" t="str">
        <f t="shared" si="15"/>
        <v/>
      </c>
    </row>
    <row r="484" spans="6:7" x14ac:dyDescent="0.2">
      <c r="F484" t="str">
        <f t="shared" si="14"/>
        <v/>
      </c>
      <c r="G484" t="str">
        <f t="shared" si="15"/>
        <v/>
      </c>
    </row>
    <row r="485" spans="6:7" x14ac:dyDescent="0.2">
      <c r="F485" t="str">
        <f t="shared" si="14"/>
        <v/>
      </c>
      <c r="G485" t="str">
        <f t="shared" si="15"/>
        <v/>
      </c>
    </row>
    <row r="486" spans="6:7" x14ac:dyDescent="0.2">
      <c r="F486" t="str">
        <f t="shared" si="14"/>
        <v/>
      </c>
      <c r="G486" t="str">
        <f t="shared" si="15"/>
        <v/>
      </c>
    </row>
    <row r="487" spans="6:7" x14ac:dyDescent="0.2">
      <c r="F487" t="str">
        <f t="shared" si="14"/>
        <v/>
      </c>
      <c r="G487" t="str">
        <f t="shared" si="15"/>
        <v/>
      </c>
    </row>
    <row r="488" spans="6:7" x14ac:dyDescent="0.2">
      <c r="F488" t="str">
        <f t="shared" si="14"/>
        <v/>
      </c>
      <c r="G488" t="str">
        <f t="shared" si="15"/>
        <v/>
      </c>
    </row>
    <row r="489" spans="6:7" x14ac:dyDescent="0.2">
      <c r="F489" t="str">
        <f t="shared" si="14"/>
        <v/>
      </c>
      <c r="G489" t="str">
        <f t="shared" si="15"/>
        <v/>
      </c>
    </row>
    <row r="490" spans="6:7" x14ac:dyDescent="0.2">
      <c r="F490" t="str">
        <f t="shared" si="14"/>
        <v/>
      </c>
      <c r="G490" t="str">
        <f t="shared" si="15"/>
        <v/>
      </c>
    </row>
    <row r="491" spans="6:7" x14ac:dyDescent="0.2">
      <c r="F491" t="str">
        <f t="shared" si="14"/>
        <v/>
      </c>
      <c r="G491" t="str">
        <f t="shared" si="15"/>
        <v/>
      </c>
    </row>
    <row r="492" spans="6:7" x14ac:dyDescent="0.2">
      <c r="F492" t="str">
        <f t="shared" si="14"/>
        <v/>
      </c>
      <c r="G492" t="str">
        <f t="shared" si="15"/>
        <v/>
      </c>
    </row>
    <row r="493" spans="6:7" x14ac:dyDescent="0.2">
      <c r="F493" t="str">
        <f t="shared" si="14"/>
        <v/>
      </c>
      <c r="G493" t="str">
        <f t="shared" si="15"/>
        <v/>
      </c>
    </row>
    <row r="494" spans="6:7" x14ac:dyDescent="0.2">
      <c r="F494" t="str">
        <f t="shared" si="14"/>
        <v/>
      </c>
      <c r="G494" t="str">
        <f t="shared" si="15"/>
        <v/>
      </c>
    </row>
    <row r="495" spans="6:7" x14ac:dyDescent="0.2">
      <c r="F495" t="str">
        <f t="shared" si="14"/>
        <v/>
      </c>
      <c r="G495" t="str">
        <f t="shared" si="15"/>
        <v/>
      </c>
    </row>
    <row r="496" spans="6:7" x14ac:dyDescent="0.2">
      <c r="F496" t="str">
        <f t="shared" si="14"/>
        <v/>
      </c>
      <c r="G496" t="str">
        <f t="shared" si="15"/>
        <v/>
      </c>
    </row>
    <row r="497" spans="6:7" x14ac:dyDescent="0.2">
      <c r="F497" t="str">
        <f t="shared" si="14"/>
        <v/>
      </c>
      <c r="G497" t="str">
        <f t="shared" si="15"/>
        <v/>
      </c>
    </row>
    <row r="498" spans="6:7" x14ac:dyDescent="0.2">
      <c r="F498" t="str">
        <f t="shared" si="14"/>
        <v/>
      </c>
      <c r="G498" t="str">
        <f t="shared" si="15"/>
        <v/>
      </c>
    </row>
    <row r="499" spans="6:7" x14ac:dyDescent="0.2">
      <c r="F499" t="str">
        <f t="shared" si="14"/>
        <v/>
      </c>
      <c r="G499" t="str">
        <f t="shared" si="15"/>
        <v/>
      </c>
    </row>
    <row r="500" spans="6:7" x14ac:dyDescent="0.2">
      <c r="F500" t="str">
        <f t="shared" si="14"/>
        <v/>
      </c>
      <c r="G500" t="str">
        <f t="shared" si="15"/>
        <v/>
      </c>
    </row>
    <row r="501" spans="6:7" x14ac:dyDescent="0.2">
      <c r="F501" t="str">
        <f t="shared" si="14"/>
        <v/>
      </c>
      <c r="G501" t="str">
        <f t="shared" si="15"/>
        <v/>
      </c>
    </row>
    <row r="502" spans="6:7" x14ac:dyDescent="0.2">
      <c r="F502" t="str">
        <f t="shared" si="14"/>
        <v/>
      </c>
      <c r="G502" t="str">
        <f t="shared" si="15"/>
        <v/>
      </c>
    </row>
    <row r="503" spans="6:7" x14ac:dyDescent="0.2">
      <c r="F503" t="str">
        <f t="shared" si="14"/>
        <v/>
      </c>
      <c r="G503" t="str">
        <f t="shared" si="15"/>
        <v/>
      </c>
    </row>
    <row r="504" spans="6:7" x14ac:dyDescent="0.2">
      <c r="F504" t="str">
        <f t="shared" si="14"/>
        <v/>
      </c>
      <c r="G504" t="str">
        <f t="shared" si="15"/>
        <v/>
      </c>
    </row>
    <row r="505" spans="6:7" x14ac:dyDescent="0.2">
      <c r="F505" t="str">
        <f t="shared" si="14"/>
        <v/>
      </c>
      <c r="G505" t="str">
        <f t="shared" si="15"/>
        <v/>
      </c>
    </row>
    <row r="506" spans="6:7" x14ac:dyDescent="0.2">
      <c r="F506" t="str">
        <f t="shared" si="14"/>
        <v/>
      </c>
      <c r="G506" t="str">
        <f t="shared" si="15"/>
        <v/>
      </c>
    </row>
    <row r="507" spans="6:7" x14ac:dyDescent="0.2">
      <c r="F507" t="str">
        <f t="shared" si="14"/>
        <v/>
      </c>
      <c r="G507" t="str">
        <f t="shared" si="15"/>
        <v/>
      </c>
    </row>
    <row r="508" spans="6:7" x14ac:dyDescent="0.2">
      <c r="F508" t="str">
        <f t="shared" si="14"/>
        <v/>
      </c>
      <c r="G508" t="str">
        <f t="shared" si="15"/>
        <v/>
      </c>
    </row>
    <row r="509" spans="6:7" x14ac:dyDescent="0.2">
      <c r="F509" t="str">
        <f t="shared" si="14"/>
        <v/>
      </c>
      <c r="G509" t="str">
        <f t="shared" si="15"/>
        <v/>
      </c>
    </row>
    <row r="510" spans="6:7" x14ac:dyDescent="0.2">
      <c r="F510" t="str">
        <f t="shared" si="14"/>
        <v/>
      </c>
      <c r="G510" t="str">
        <f t="shared" si="15"/>
        <v/>
      </c>
    </row>
    <row r="511" spans="6:7" x14ac:dyDescent="0.2">
      <c r="F511" t="str">
        <f t="shared" si="14"/>
        <v/>
      </c>
      <c r="G511" t="str">
        <f t="shared" si="15"/>
        <v/>
      </c>
    </row>
    <row r="512" spans="6:7" x14ac:dyDescent="0.2">
      <c r="F512" t="str">
        <f t="shared" si="14"/>
        <v/>
      </c>
      <c r="G512" t="str">
        <f t="shared" si="15"/>
        <v/>
      </c>
    </row>
    <row r="513" spans="6:7" x14ac:dyDescent="0.2">
      <c r="F513" t="str">
        <f t="shared" si="14"/>
        <v/>
      </c>
      <c r="G513" t="str">
        <f t="shared" si="15"/>
        <v/>
      </c>
    </row>
    <row r="514" spans="6:7" x14ac:dyDescent="0.2">
      <c r="F514" t="str">
        <f t="shared" ref="F514:F577" si="16">IF(OR(D514="",E514=""),"",E514-D514)</f>
        <v/>
      </c>
      <c r="G514" t="str">
        <f t="shared" ref="G514:G577" si="17">IF(F514="","",IF(F514&gt;0,"ANO","NE"))</f>
        <v/>
      </c>
    </row>
    <row r="515" spans="6:7" x14ac:dyDescent="0.2">
      <c r="F515" t="str">
        <f t="shared" si="16"/>
        <v/>
      </c>
      <c r="G515" t="str">
        <f t="shared" si="17"/>
        <v/>
      </c>
    </row>
    <row r="516" spans="6:7" x14ac:dyDescent="0.2">
      <c r="F516" t="str">
        <f t="shared" si="16"/>
        <v/>
      </c>
      <c r="G516" t="str">
        <f t="shared" si="17"/>
        <v/>
      </c>
    </row>
    <row r="517" spans="6:7" x14ac:dyDescent="0.2">
      <c r="F517" t="str">
        <f t="shared" si="16"/>
        <v/>
      </c>
      <c r="G517" t="str">
        <f t="shared" si="17"/>
        <v/>
      </c>
    </row>
    <row r="518" spans="6:7" x14ac:dyDescent="0.2">
      <c r="F518" t="str">
        <f t="shared" si="16"/>
        <v/>
      </c>
      <c r="G518" t="str">
        <f t="shared" si="17"/>
        <v/>
      </c>
    </row>
    <row r="519" spans="6:7" x14ac:dyDescent="0.2">
      <c r="F519" t="str">
        <f t="shared" si="16"/>
        <v/>
      </c>
      <c r="G519" t="str">
        <f t="shared" si="17"/>
        <v/>
      </c>
    </row>
    <row r="520" spans="6:7" x14ac:dyDescent="0.2">
      <c r="F520" t="str">
        <f t="shared" si="16"/>
        <v/>
      </c>
      <c r="G520" t="str">
        <f t="shared" si="17"/>
        <v/>
      </c>
    </row>
    <row r="521" spans="6:7" x14ac:dyDescent="0.2">
      <c r="F521" t="str">
        <f t="shared" si="16"/>
        <v/>
      </c>
      <c r="G521" t="str">
        <f t="shared" si="17"/>
        <v/>
      </c>
    </row>
    <row r="522" spans="6:7" x14ac:dyDescent="0.2">
      <c r="F522" t="str">
        <f t="shared" si="16"/>
        <v/>
      </c>
      <c r="G522" t="str">
        <f t="shared" si="17"/>
        <v/>
      </c>
    </row>
    <row r="523" spans="6:7" x14ac:dyDescent="0.2">
      <c r="F523" t="str">
        <f t="shared" si="16"/>
        <v/>
      </c>
      <c r="G523" t="str">
        <f t="shared" si="17"/>
        <v/>
      </c>
    </row>
    <row r="524" spans="6:7" x14ac:dyDescent="0.2">
      <c r="F524" t="str">
        <f t="shared" si="16"/>
        <v/>
      </c>
      <c r="G524" t="str">
        <f t="shared" si="17"/>
        <v/>
      </c>
    </row>
    <row r="525" spans="6:7" x14ac:dyDescent="0.2">
      <c r="F525" t="str">
        <f t="shared" si="16"/>
        <v/>
      </c>
      <c r="G525" t="str">
        <f t="shared" si="17"/>
        <v/>
      </c>
    </row>
    <row r="526" spans="6:7" x14ac:dyDescent="0.2">
      <c r="F526" t="str">
        <f t="shared" si="16"/>
        <v/>
      </c>
      <c r="G526" t="str">
        <f t="shared" si="17"/>
        <v/>
      </c>
    </row>
    <row r="527" spans="6:7" x14ac:dyDescent="0.2">
      <c r="F527" t="str">
        <f t="shared" si="16"/>
        <v/>
      </c>
      <c r="G527" t="str">
        <f t="shared" si="17"/>
        <v/>
      </c>
    </row>
    <row r="528" spans="6:7" x14ac:dyDescent="0.2">
      <c r="F528" t="str">
        <f t="shared" si="16"/>
        <v/>
      </c>
      <c r="G528" t="str">
        <f t="shared" si="17"/>
        <v/>
      </c>
    </row>
    <row r="529" spans="6:7" x14ac:dyDescent="0.2">
      <c r="F529" t="str">
        <f t="shared" si="16"/>
        <v/>
      </c>
      <c r="G529" t="str">
        <f t="shared" si="17"/>
        <v/>
      </c>
    </row>
    <row r="530" spans="6:7" x14ac:dyDescent="0.2">
      <c r="F530" t="str">
        <f t="shared" si="16"/>
        <v/>
      </c>
      <c r="G530" t="str">
        <f t="shared" si="17"/>
        <v/>
      </c>
    </row>
    <row r="531" spans="6:7" x14ac:dyDescent="0.2">
      <c r="F531" t="str">
        <f t="shared" si="16"/>
        <v/>
      </c>
      <c r="G531" t="str">
        <f t="shared" si="17"/>
        <v/>
      </c>
    </row>
    <row r="532" spans="6:7" x14ac:dyDescent="0.2">
      <c r="F532" t="str">
        <f t="shared" si="16"/>
        <v/>
      </c>
      <c r="G532" t="str">
        <f t="shared" si="17"/>
        <v/>
      </c>
    </row>
    <row r="533" spans="6:7" x14ac:dyDescent="0.2">
      <c r="F533" t="str">
        <f t="shared" si="16"/>
        <v/>
      </c>
      <c r="G533" t="str">
        <f t="shared" si="17"/>
        <v/>
      </c>
    </row>
    <row r="534" spans="6:7" x14ac:dyDescent="0.2">
      <c r="F534" t="str">
        <f t="shared" si="16"/>
        <v/>
      </c>
      <c r="G534" t="str">
        <f t="shared" si="17"/>
        <v/>
      </c>
    </row>
    <row r="535" spans="6:7" x14ac:dyDescent="0.2">
      <c r="F535" t="str">
        <f t="shared" si="16"/>
        <v/>
      </c>
      <c r="G535" t="str">
        <f t="shared" si="17"/>
        <v/>
      </c>
    </row>
    <row r="536" spans="6:7" x14ac:dyDescent="0.2">
      <c r="F536" t="str">
        <f t="shared" si="16"/>
        <v/>
      </c>
      <c r="G536" t="str">
        <f t="shared" si="17"/>
        <v/>
      </c>
    </row>
    <row r="537" spans="6:7" x14ac:dyDescent="0.2">
      <c r="F537" t="str">
        <f t="shared" si="16"/>
        <v/>
      </c>
      <c r="G537" t="str">
        <f t="shared" si="17"/>
        <v/>
      </c>
    </row>
    <row r="538" spans="6:7" x14ac:dyDescent="0.2">
      <c r="F538" t="str">
        <f t="shared" si="16"/>
        <v/>
      </c>
      <c r="G538" t="str">
        <f t="shared" si="17"/>
        <v/>
      </c>
    </row>
    <row r="539" spans="6:7" x14ac:dyDescent="0.2">
      <c r="F539" t="str">
        <f t="shared" si="16"/>
        <v/>
      </c>
      <c r="G539" t="str">
        <f t="shared" si="17"/>
        <v/>
      </c>
    </row>
    <row r="540" spans="6:7" x14ac:dyDescent="0.2">
      <c r="F540" t="str">
        <f t="shared" si="16"/>
        <v/>
      </c>
      <c r="G540" t="str">
        <f t="shared" si="17"/>
        <v/>
      </c>
    </row>
    <row r="541" spans="6:7" x14ac:dyDescent="0.2">
      <c r="F541" t="str">
        <f t="shared" si="16"/>
        <v/>
      </c>
      <c r="G541" t="str">
        <f t="shared" si="17"/>
        <v/>
      </c>
    </row>
    <row r="542" spans="6:7" x14ac:dyDescent="0.2">
      <c r="F542" t="str">
        <f t="shared" si="16"/>
        <v/>
      </c>
      <c r="G542" t="str">
        <f t="shared" si="17"/>
        <v/>
      </c>
    </row>
    <row r="543" spans="6:7" x14ac:dyDescent="0.2">
      <c r="F543" t="str">
        <f t="shared" si="16"/>
        <v/>
      </c>
      <c r="G543" t="str">
        <f t="shared" si="17"/>
        <v/>
      </c>
    </row>
    <row r="544" spans="6:7" x14ac:dyDescent="0.2">
      <c r="F544" t="str">
        <f t="shared" si="16"/>
        <v/>
      </c>
      <c r="G544" t="str">
        <f t="shared" si="17"/>
        <v/>
      </c>
    </row>
    <row r="545" spans="6:7" x14ac:dyDescent="0.2">
      <c r="F545" t="str">
        <f t="shared" si="16"/>
        <v/>
      </c>
      <c r="G545" t="str">
        <f t="shared" si="17"/>
        <v/>
      </c>
    </row>
    <row r="546" spans="6:7" x14ac:dyDescent="0.2">
      <c r="F546" t="str">
        <f t="shared" si="16"/>
        <v/>
      </c>
      <c r="G546" t="str">
        <f t="shared" si="17"/>
        <v/>
      </c>
    </row>
    <row r="547" spans="6:7" x14ac:dyDescent="0.2">
      <c r="F547" t="str">
        <f t="shared" si="16"/>
        <v/>
      </c>
      <c r="G547" t="str">
        <f t="shared" si="17"/>
        <v/>
      </c>
    </row>
    <row r="548" spans="6:7" x14ac:dyDescent="0.2">
      <c r="F548" t="str">
        <f t="shared" si="16"/>
        <v/>
      </c>
      <c r="G548" t="str">
        <f t="shared" si="17"/>
        <v/>
      </c>
    </row>
    <row r="549" spans="6:7" x14ac:dyDescent="0.2">
      <c r="F549" t="str">
        <f t="shared" si="16"/>
        <v/>
      </c>
      <c r="G549" t="str">
        <f t="shared" si="17"/>
        <v/>
      </c>
    </row>
    <row r="550" spans="6:7" x14ac:dyDescent="0.2">
      <c r="F550" t="str">
        <f t="shared" si="16"/>
        <v/>
      </c>
      <c r="G550" t="str">
        <f t="shared" si="17"/>
        <v/>
      </c>
    </row>
    <row r="551" spans="6:7" x14ac:dyDescent="0.2">
      <c r="F551" t="str">
        <f t="shared" si="16"/>
        <v/>
      </c>
      <c r="G551" t="str">
        <f t="shared" si="17"/>
        <v/>
      </c>
    </row>
    <row r="552" spans="6:7" x14ac:dyDescent="0.2">
      <c r="F552" t="str">
        <f t="shared" si="16"/>
        <v/>
      </c>
      <c r="G552" t="str">
        <f t="shared" si="17"/>
        <v/>
      </c>
    </row>
    <row r="553" spans="6:7" x14ac:dyDescent="0.2">
      <c r="F553" t="str">
        <f t="shared" si="16"/>
        <v/>
      </c>
      <c r="G553" t="str">
        <f t="shared" si="17"/>
        <v/>
      </c>
    </row>
    <row r="554" spans="6:7" x14ac:dyDescent="0.2">
      <c r="F554" t="str">
        <f t="shared" si="16"/>
        <v/>
      </c>
      <c r="G554" t="str">
        <f t="shared" si="17"/>
        <v/>
      </c>
    </row>
    <row r="555" spans="6:7" x14ac:dyDescent="0.2">
      <c r="F555" t="str">
        <f t="shared" si="16"/>
        <v/>
      </c>
      <c r="G555" t="str">
        <f t="shared" si="17"/>
        <v/>
      </c>
    </row>
    <row r="556" spans="6:7" x14ac:dyDescent="0.2">
      <c r="F556" t="str">
        <f t="shared" si="16"/>
        <v/>
      </c>
      <c r="G556" t="str">
        <f t="shared" si="17"/>
        <v/>
      </c>
    </row>
    <row r="557" spans="6:7" x14ac:dyDescent="0.2">
      <c r="F557" t="str">
        <f t="shared" si="16"/>
        <v/>
      </c>
      <c r="G557" t="str">
        <f t="shared" si="17"/>
        <v/>
      </c>
    </row>
    <row r="558" spans="6:7" x14ac:dyDescent="0.2">
      <c r="F558" t="str">
        <f t="shared" si="16"/>
        <v/>
      </c>
      <c r="G558" t="str">
        <f t="shared" si="17"/>
        <v/>
      </c>
    </row>
    <row r="559" spans="6:7" x14ac:dyDescent="0.2">
      <c r="F559" t="str">
        <f t="shared" si="16"/>
        <v/>
      </c>
      <c r="G559" t="str">
        <f t="shared" si="17"/>
        <v/>
      </c>
    </row>
    <row r="560" spans="6:7" x14ac:dyDescent="0.2">
      <c r="F560" t="str">
        <f t="shared" si="16"/>
        <v/>
      </c>
      <c r="G560" t="str">
        <f t="shared" si="17"/>
        <v/>
      </c>
    </row>
    <row r="561" spans="6:7" x14ac:dyDescent="0.2">
      <c r="F561" t="str">
        <f t="shared" si="16"/>
        <v/>
      </c>
      <c r="G561" t="str">
        <f t="shared" si="17"/>
        <v/>
      </c>
    </row>
    <row r="562" spans="6:7" x14ac:dyDescent="0.2">
      <c r="F562" t="str">
        <f t="shared" si="16"/>
        <v/>
      </c>
      <c r="G562" t="str">
        <f t="shared" si="17"/>
        <v/>
      </c>
    </row>
    <row r="563" spans="6:7" x14ac:dyDescent="0.2">
      <c r="F563" t="str">
        <f t="shared" si="16"/>
        <v/>
      </c>
      <c r="G563" t="str">
        <f t="shared" si="17"/>
        <v/>
      </c>
    </row>
    <row r="564" spans="6:7" x14ac:dyDescent="0.2">
      <c r="F564" t="str">
        <f t="shared" si="16"/>
        <v/>
      </c>
      <c r="G564" t="str">
        <f t="shared" si="17"/>
        <v/>
      </c>
    </row>
    <row r="565" spans="6:7" x14ac:dyDescent="0.2">
      <c r="F565" t="str">
        <f t="shared" si="16"/>
        <v/>
      </c>
      <c r="G565" t="str">
        <f t="shared" si="17"/>
        <v/>
      </c>
    </row>
    <row r="566" spans="6:7" x14ac:dyDescent="0.2">
      <c r="F566" t="str">
        <f t="shared" si="16"/>
        <v/>
      </c>
      <c r="G566" t="str">
        <f t="shared" si="17"/>
        <v/>
      </c>
    </row>
    <row r="567" spans="6:7" x14ac:dyDescent="0.2">
      <c r="F567" t="str">
        <f t="shared" si="16"/>
        <v/>
      </c>
      <c r="G567" t="str">
        <f t="shared" si="17"/>
        <v/>
      </c>
    </row>
    <row r="568" spans="6:7" x14ac:dyDescent="0.2">
      <c r="F568" t="str">
        <f t="shared" si="16"/>
        <v/>
      </c>
      <c r="G568" t="str">
        <f t="shared" si="17"/>
        <v/>
      </c>
    </row>
    <row r="569" spans="6:7" x14ac:dyDescent="0.2">
      <c r="F569" t="str">
        <f t="shared" si="16"/>
        <v/>
      </c>
      <c r="G569" t="str">
        <f t="shared" si="17"/>
        <v/>
      </c>
    </row>
    <row r="570" spans="6:7" x14ac:dyDescent="0.2">
      <c r="F570" t="str">
        <f t="shared" si="16"/>
        <v/>
      </c>
      <c r="G570" t="str">
        <f t="shared" si="17"/>
        <v/>
      </c>
    </row>
    <row r="571" spans="6:7" x14ac:dyDescent="0.2">
      <c r="F571" t="str">
        <f t="shared" si="16"/>
        <v/>
      </c>
      <c r="G571" t="str">
        <f t="shared" si="17"/>
        <v/>
      </c>
    </row>
    <row r="572" spans="6:7" x14ac:dyDescent="0.2">
      <c r="F572" t="str">
        <f t="shared" si="16"/>
        <v/>
      </c>
      <c r="G572" t="str">
        <f t="shared" si="17"/>
        <v/>
      </c>
    </row>
    <row r="573" spans="6:7" x14ac:dyDescent="0.2">
      <c r="F573" t="str">
        <f t="shared" si="16"/>
        <v/>
      </c>
      <c r="G573" t="str">
        <f t="shared" si="17"/>
        <v/>
      </c>
    </row>
    <row r="574" spans="6:7" x14ac:dyDescent="0.2">
      <c r="F574" t="str">
        <f t="shared" si="16"/>
        <v/>
      </c>
      <c r="G574" t="str">
        <f t="shared" si="17"/>
        <v/>
      </c>
    </row>
    <row r="575" spans="6:7" x14ac:dyDescent="0.2">
      <c r="F575" t="str">
        <f t="shared" si="16"/>
        <v/>
      </c>
      <c r="G575" t="str">
        <f t="shared" si="17"/>
        <v/>
      </c>
    </row>
    <row r="576" spans="6:7" x14ac:dyDescent="0.2">
      <c r="F576" t="str">
        <f t="shared" si="16"/>
        <v/>
      </c>
      <c r="G576" t="str">
        <f t="shared" si="17"/>
        <v/>
      </c>
    </row>
    <row r="577" spans="6:7" x14ac:dyDescent="0.2">
      <c r="F577" t="str">
        <f t="shared" si="16"/>
        <v/>
      </c>
      <c r="G577" t="str">
        <f t="shared" si="17"/>
        <v/>
      </c>
    </row>
    <row r="578" spans="6:7" x14ac:dyDescent="0.2">
      <c r="F578" t="str">
        <f t="shared" ref="F578:F641" si="18">IF(OR(D578="",E578=""),"",E578-D578)</f>
        <v/>
      </c>
      <c r="G578" t="str">
        <f t="shared" ref="G578:G641" si="19">IF(F578="","",IF(F578&gt;0,"ANO","NE"))</f>
        <v/>
      </c>
    </row>
    <row r="579" spans="6:7" x14ac:dyDescent="0.2">
      <c r="F579" t="str">
        <f t="shared" si="18"/>
        <v/>
      </c>
      <c r="G579" t="str">
        <f t="shared" si="19"/>
        <v/>
      </c>
    </row>
    <row r="580" spans="6:7" x14ac:dyDescent="0.2">
      <c r="F580" t="str">
        <f t="shared" si="18"/>
        <v/>
      </c>
      <c r="G580" t="str">
        <f t="shared" si="19"/>
        <v/>
      </c>
    </row>
    <row r="581" spans="6:7" x14ac:dyDescent="0.2">
      <c r="F581" t="str">
        <f t="shared" si="18"/>
        <v/>
      </c>
      <c r="G581" t="str">
        <f t="shared" si="19"/>
        <v/>
      </c>
    </row>
    <row r="582" spans="6:7" x14ac:dyDescent="0.2">
      <c r="F582" t="str">
        <f t="shared" si="18"/>
        <v/>
      </c>
      <c r="G582" t="str">
        <f t="shared" si="19"/>
        <v/>
      </c>
    </row>
    <row r="583" spans="6:7" x14ac:dyDescent="0.2">
      <c r="F583" t="str">
        <f t="shared" si="18"/>
        <v/>
      </c>
      <c r="G583" t="str">
        <f t="shared" si="19"/>
        <v/>
      </c>
    </row>
    <row r="584" spans="6:7" x14ac:dyDescent="0.2">
      <c r="F584" t="str">
        <f t="shared" si="18"/>
        <v/>
      </c>
      <c r="G584" t="str">
        <f t="shared" si="19"/>
        <v/>
      </c>
    </row>
    <row r="585" spans="6:7" x14ac:dyDescent="0.2">
      <c r="F585" t="str">
        <f t="shared" si="18"/>
        <v/>
      </c>
      <c r="G585" t="str">
        <f t="shared" si="19"/>
        <v/>
      </c>
    </row>
    <row r="586" spans="6:7" x14ac:dyDescent="0.2">
      <c r="F586" t="str">
        <f t="shared" si="18"/>
        <v/>
      </c>
      <c r="G586" t="str">
        <f t="shared" si="19"/>
        <v/>
      </c>
    </row>
    <row r="587" spans="6:7" x14ac:dyDescent="0.2">
      <c r="F587" t="str">
        <f t="shared" si="18"/>
        <v/>
      </c>
      <c r="G587" t="str">
        <f t="shared" si="19"/>
        <v/>
      </c>
    </row>
    <row r="588" spans="6:7" x14ac:dyDescent="0.2">
      <c r="F588" t="str">
        <f t="shared" si="18"/>
        <v/>
      </c>
      <c r="G588" t="str">
        <f t="shared" si="19"/>
        <v/>
      </c>
    </row>
    <row r="589" spans="6:7" x14ac:dyDescent="0.2">
      <c r="F589" t="str">
        <f t="shared" si="18"/>
        <v/>
      </c>
      <c r="G589" t="str">
        <f t="shared" si="19"/>
        <v/>
      </c>
    </row>
    <row r="590" spans="6:7" x14ac:dyDescent="0.2">
      <c r="F590" t="str">
        <f t="shared" si="18"/>
        <v/>
      </c>
      <c r="G590" t="str">
        <f t="shared" si="19"/>
        <v/>
      </c>
    </row>
    <row r="591" spans="6:7" x14ac:dyDescent="0.2">
      <c r="F591" t="str">
        <f t="shared" si="18"/>
        <v/>
      </c>
      <c r="G591" t="str">
        <f t="shared" si="19"/>
        <v/>
      </c>
    </row>
    <row r="592" spans="6:7" x14ac:dyDescent="0.2">
      <c r="F592" t="str">
        <f t="shared" si="18"/>
        <v/>
      </c>
      <c r="G592" t="str">
        <f t="shared" si="19"/>
        <v/>
      </c>
    </row>
    <row r="593" spans="6:7" x14ac:dyDescent="0.2">
      <c r="F593" t="str">
        <f t="shared" si="18"/>
        <v/>
      </c>
      <c r="G593" t="str">
        <f t="shared" si="19"/>
        <v/>
      </c>
    </row>
    <row r="594" spans="6:7" x14ac:dyDescent="0.2">
      <c r="F594" t="str">
        <f t="shared" si="18"/>
        <v/>
      </c>
      <c r="G594" t="str">
        <f t="shared" si="19"/>
        <v/>
      </c>
    </row>
    <row r="595" spans="6:7" x14ac:dyDescent="0.2">
      <c r="F595" t="str">
        <f t="shared" si="18"/>
        <v/>
      </c>
      <c r="G595" t="str">
        <f t="shared" si="19"/>
        <v/>
      </c>
    </row>
    <row r="596" spans="6:7" x14ac:dyDescent="0.2">
      <c r="F596" t="str">
        <f t="shared" si="18"/>
        <v/>
      </c>
      <c r="G596" t="str">
        <f t="shared" si="19"/>
        <v/>
      </c>
    </row>
    <row r="597" spans="6:7" x14ac:dyDescent="0.2">
      <c r="F597" t="str">
        <f t="shared" si="18"/>
        <v/>
      </c>
      <c r="G597" t="str">
        <f t="shared" si="19"/>
        <v/>
      </c>
    </row>
    <row r="598" spans="6:7" x14ac:dyDescent="0.2">
      <c r="F598" t="str">
        <f t="shared" si="18"/>
        <v/>
      </c>
      <c r="G598" t="str">
        <f t="shared" si="19"/>
        <v/>
      </c>
    </row>
    <row r="599" spans="6:7" x14ac:dyDescent="0.2">
      <c r="F599" t="str">
        <f t="shared" si="18"/>
        <v/>
      </c>
      <c r="G599" t="str">
        <f t="shared" si="19"/>
        <v/>
      </c>
    </row>
    <row r="600" spans="6:7" x14ac:dyDescent="0.2">
      <c r="F600" t="str">
        <f t="shared" si="18"/>
        <v/>
      </c>
      <c r="G600" t="str">
        <f t="shared" si="19"/>
        <v/>
      </c>
    </row>
    <row r="601" spans="6:7" x14ac:dyDescent="0.2">
      <c r="F601" t="str">
        <f t="shared" si="18"/>
        <v/>
      </c>
      <c r="G601" t="str">
        <f t="shared" si="19"/>
        <v/>
      </c>
    </row>
    <row r="602" spans="6:7" x14ac:dyDescent="0.2">
      <c r="F602" t="str">
        <f t="shared" si="18"/>
        <v/>
      </c>
      <c r="G602" t="str">
        <f t="shared" si="19"/>
        <v/>
      </c>
    </row>
    <row r="603" spans="6:7" x14ac:dyDescent="0.2">
      <c r="F603" t="str">
        <f t="shared" si="18"/>
        <v/>
      </c>
      <c r="G603" t="str">
        <f t="shared" si="19"/>
        <v/>
      </c>
    </row>
    <row r="604" spans="6:7" x14ac:dyDescent="0.2">
      <c r="F604" t="str">
        <f t="shared" si="18"/>
        <v/>
      </c>
      <c r="G604" t="str">
        <f t="shared" si="19"/>
        <v/>
      </c>
    </row>
    <row r="605" spans="6:7" x14ac:dyDescent="0.2">
      <c r="F605" t="str">
        <f t="shared" si="18"/>
        <v/>
      </c>
      <c r="G605" t="str">
        <f t="shared" si="19"/>
        <v/>
      </c>
    </row>
    <row r="606" spans="6:7" x14ac:dyDescent="0.2">
      <c r="F606" t="str">
        <f t="shared" si="18"/>
        <v/>
      </c>
      <c r="G606" t="str">
        <f t="shared" si="19"/>
        <v/>
      </c>
    </row>
    <row r="607" spans="6:7" x14ac:dyDescent="0.2">
      <c r="F607" t="str">
        <f t="shared" si="18"/>
        <v/>
      </c>
      <c r="G607" t="str">
        <f t="shared" si="19"/>
        <v/>
      </c>
    </row>
    <row r="608" spans="6:7" x14ac:dyDescent="0.2">
      <c r="F608" t="str">
        <f t="shared" si="18"/>
        <v/>
      </c>
      <c r="G608" t="str">
        <f t="shared" si="19"/>
        <v/>
      </c>
    </row>
    <row r="609" spans="6:7" x14ac:dyDescent="0.2">
      <c r="F609" t="str">
        <f t="shared" si="18"/>
        <v/>
      </c>
      <c r="G609" t="str">
        <f t="shared" si="19"/>
        <v/>
      </c>
    </row>
    <row r="610" spans="6:7" x14ac:dyDescent="0.2">
      <c r="F610" t="str">
        <f t="shared" si="18"/>
        <v/>
      </c>
      <c r="G610" t="str">
        <f t="shared" si="19"/>
        <v/>
      </c>
    </row>
    <row r="611" spans="6:7" x14ac:dyDescent="0.2">
      <c r="F611" t="str">
        <f t="shared" si="18"/>
        <v/>
      </c>
      <c r="G611" t="str">
        <f t="shared" si="19"/>
        <v/>
      </c>
    </row>
    <row r="612" spans="6:7" x14ac:dyDescent="0.2">
      <c r="F612" t="str">
        <f t="shared" si="18"/>
        <v/>
      </c>
      <c r="G612" t="str">
        <f t="shared" si="19"/>
        <v/>
      </c>
    </row>
    <row r="613" spans="6:7" x14ac:dyDescent="0.2">
      <c r="F613" t="str">
        <f t="shared" si="18"/>
        <v/>
      </c>
      <c r="G613" t="str">
        <f t="shared" si="19"/>
        <v/>
      </c>
    </row>
    <row r="614" spans="6:7" x14ac:dyDescent="0.2">
      <c r="F614" t="str">
        <f t="shared" si="18"/>
        <v/>
      </c>
      <c r="G614" t="str">
        <f t="shared" si="19"/>
        <v/>
      </c>
    </row>
    <row r="615" spans="6:7" x14ac:dyDescent="0.2">
      <c r="F615" t="str">
        <f t="shared" si="18"/>
        <v/>
      </c>
      <c r="G615" t="str">
        <f t="shared" si="19"/>
        <v/>
      </c>
    </row>
    <row r="616" spans="6:7" x14ac:dyDescent="0.2">
      <c r="F616" t="str">
        <f t="shared" si="18"/>
        <v/>
      </c>
      <c r="G616" t="str">
        <f t="shared" si="19"/>
        <v/>
      </c>
    </row>
    <row r="617" spans="6:7" x14ac:dyDescent="0.2">
      <c r="F617" t="str">
        <f t="shared" si="18"/>
        <v/>
      </c>
      <c r="G617" t="str">
        <f t="shared" si="19"/>
        <v/>
      </c>
    </row>
    <row r="618" spans="6:7" x14ac:dyDescent="0.2">
      <c r="F618" t="str">
        <f t="shared" si="18"/>
        <v/>
      </c>
      <c r="G618" t="str">
        <f t="shared" si="19"/>
        <v/>
      </c>
    </row>
    <row r="619" spans="6:7" x14ac:dyDescent="0.2">
      <c r="F619" t="str">
        <f t="shared" si="18"/>
        <v/>
      </c>
      <c r="G619" t="str">
        <f t="shared" si="19"/>
        <v/>
      </c>
    </row>
    <row r="620" spans="6:7" x14ac:dyDescent="0.2">
      <c r="F620" t="str">
        <f t="shared" si="18"/>
        <v/>
      </c>
      <c r="G620" t="str">
        <f t="shared" si="19"/>
        <v/>
      </c>
    </row>
    <row r="621" spans="6:7" x14ac:dyDescent="0.2">
      <c r="F621" t="str">
        <f t="shared" si="18"/>
        <v/>
      </c>
      <c r="G621" t="str">
        <f t="shared" si="19"/>
        <v/>
      </c>
    </row>
    <row r="622" spans="6:7" x14ac:dyDescent="0.2">
      <c r="F622" t="str">
        <f t="shared" si="18"/>
        <v/>
      </c>
      <c r="G622" t="str">
        <f t="shared" si="19"/>
        <v/>
      </c>
    </row>
    <row r="623" spans="6:7" x14ac:dyDescent="0.2">
      <c r="F623" t="str">
        <f t="shared" si="18"/>
        <v/>
      </c>
      <c r="G623" t="str">
        <f t="shared" si="19"/>
        <v/>
      </c>
    </row>
    <row r="624" spans="6:7" x14ac:dyDescent="0.2">
      <c r="F624" t="str">
        <f t="shared" si="18"/>
        <v/>
      </c>
      <c r="G624" t="str">
        <f t="shared" si="19"/>
        <v/>
      </c>
    </row>
    <row r="625" spans="6:7" x14ac:dyDescent="0.2">
      <c r="F625" t="str">
        <f t="shared" si="18"/>
        <v/>
      </c>
      <c r="G625" t="str">
        <f t="shared" si="19"/>
        <v/>
      </c>
    </row>
    <row r="626" spans="6:7" x14ac:dyDescent="0.2">
      <c r="F626" t="str">
        <f t="shared" si="18"/>
        <v/>
      </c>
      <c r="G626" t="str">
        <f t="shared" si="19"/>
        <v/>
      </c>
    </row>
    <row r="627" spans="6:7" x14ac:dyDescent="0.2">
      <c r="F627" t="str">
        <f t="shared" si="18"/>
        <v/>
      </c>
      <c r="G627" t="str">
        <f t="shared" si="19"/>
        <v/>
      </c>
    </row>
    <row r="628" spans="6:7" x14ac:dyDescent="0.2">
      <c r="F628" t="str">
        <f t="shared" si="18"/>
        <v/>
      </c>
      <c r="G628" t="str">
        <f t="shared" si="19"/>
        <v/>
      </c>
    </row>
    <row r="629" spans="6:7" x14ac:dyDescent="0.2">
      <c r="F629" t="str">
        <f t="shared" si="18"/>
        <v/>
      </c>
      <c r="G629" t="str">
        <f t="shared" si="19"/>
        <v/>
      </c>
    </row>
    <row r="630" spans="6:7" x14ac:dyDescent="0.2">
      <c r="F630" t="str">
        <f t="shared" si="18"/>
        <v/>
      </c>
      <c r="G630" t="str">
        <f t="shared" si="19"/>
        <v/>
      </c>
    </row>
    <row r="631" spans="6:7" x14ac:dyDescent="0.2">
      <c r="F631" t="str">
        <f t="shared" si="18"/>
        <v/>
      </c>
      <c r="G631" t="str">
        <f t="shared" si="19"/>
        <v/>
      </c>
    </row>
    <row r="632" spans="6:7" x14ac:dyDescent="0.2">
      <c r="F632" t="str">
        <f t="shared" si="18"/>
        <v/>
      </c>
      <c r="G632" t="str">
        <f t="shared" si="19"/>
        <v/>
      </c>
    </row>
    <row r="633" spans="6:7" x14ac:dyDescent="0.2">
      <c r="F633" t="str">
        <f t="shared" si="18"/>
        <v/>
      </c>
      <c r="G633" t="str">
        <f t="shared" si="19"/>
        <v/>
      </c>
    </row>
    <row r="634" spans="6:7" x14ac:dyDescent="0.2">
      <c r="F634" t="str">
        <f t="shared" si="18"/>
        <v/>
      </c>
      <c r="G634" t="str">
        <f t="shared" si="19"/>
        <v/>
      </c>
    </row>
    <row r="635" spans="6:7" x14ac:dyDescent="0.2">
      <c r="F635" t="str">
        <f t="shared" si="18"/>
        <v/>
      </c>
      <c r="G635" t="str">
        <f t="shared" si="19"/>
        <v/>
      </c>
    </row>
    <row r="636" spans="6:7" x14ac:dyDescent="0.2">
      <c r="F636" t="str">
        <f t="shared" si="18"/>
        <v/>
      </c>
      <c r="G636" t="str">
        <f t="shared" si="19"/>
        <v/>
      </c>
    </row>
    <row r="637" spans="6:7" x14ac:dyDescent="0.2">
      <c r="F637" t="str">
        <f t="shared" si="18"/>
        <v/>
      </c>
      <c r="G637" t="str">
        <f t="shared" si="19"/>
        <v/>
      </c>
    </row>
    <row r="638" spans="6:7" x14ac:dyDescent="0.2">
      <c r="F638" t="str">
        <f t="shared" si="18"/>
        <v/>
      </c>
      <c r="G638" t="str">
        <f t="shared" si="19"/>
        <v/>
      </c>
    </row>
    <row r="639" spans="6:7" x14ac:dyDescent="0.2">
      <c r="F639" t="str">
        <f t="shared" si="18"/>
        <v/>
      </c>
      <c r="G639" t="str">
        <f t="shared" si="19"/>
        <v/>
      </c>
    </row>
    <row r="640" spans="6:7" x14ac:dyDescent="0.2">
      <c r="F640" t="str">
        <f t="shared" si="18"/>
        <v/>
      </c>
      <c r="G640" t="str">
        <f t="shared" si="19"/>
        <v/>
      </c>
    </row>
    <row r="641" spans="6:7" x14ac:dyDescent="0.2">
      <c r="F641" t="str">
        <f t="shared" si="18"/>
        <v/>
      </c>
      <c r="G641" t="str">
        <f t="shared" si="19"/>
        <v/>
      </c>
    </row>
    <row r="642" spans="6:7" x14ac:dyDescent="0.2">
      <c r="F642" t="str">
        <f t="shared" ref="F642:F705" si="20">IF(OR(D642="",E642=""),"",E642-D642)</f>
        <v/>
      </c>
      <c r="G642" t="str">
        <f t="shared" ref="G642:G705" si="21">IF(F642="","",IF(F642&gt;0,"ANO","NE"))</f>
        <v/>
      </c>
    </row>
    <row r="643" spans="6:7" x14ac:dyDescent="0.2">
      <c r="F643" t="str">
        <f t="shared" si="20"/>
        <v/>
      </c>
      <c r="G643" t="str">
        <f t="shared" si="21"/>
        <v/>
      </c>
    </row>
    <row r="644" spans="6:7" x14ac:dyDescent="0.2">
      <c r="F644" t="str">
        <f t="shared" si="20"/>
        <v/>
      </c>
      <c r="G644" t="str">
        <f t="shared" si="21"/>
        <v/>
      </c>
    </row>
    <row r="645" spans="6:7" x14ac:dyDescent="0.2">
      <c r="F645" t="str">
        <f t="shared" si="20"/>
        <v/>
      </c>
      <c r="G645" t="str">
        <f t="shared" si="21"/>
        <v/>
      </c>
    </row>
    <row r="646" spans="6:7" x14ac:dyDescent="0.2">
      <c r="F646" t="str">
        <f t="shared" si="20"/>
        <v/>
      </c>
      <c r="G646" t="str">
        <f t="shared" si="21"/>
        <v/>
      </c>
    </row>
    <row r="647" spans="6:7" x14ac:dyDescent="0.2">
      <c r="F647" t="str">
        <f t="shared" si="20"/>
        <v/>
      </c>
      <c r="G647" t="str">
        <f t="shared" si="21"/>
        <v/>
      </c>
    </row>
    <row r="648" spans="6:7" x14ac:dyDescent="0.2">
      <c r="F648" t="str">
        <f t="shared" si="20"/>
        <v/>
      </c>
      <c r="G648" t="str">
        <f t="shared" si="21"/>
        <v/>
      </c>
    </row>
    <row r="649" spans="6:7" x14ac:dyDescent="0.2">
      <c r="F649" t="str">
        <f t="shared" si="20"/>
        <v/>
      </c>
      <c r="G649" t="str">
        <f t="shared" si="21"/>
        <v/>
      </c>
    </row>
    <row r="650" spans="6:7" x14ac:dyDescent="0.2">
      <c r="F650" t="str">
        <f t="shared" si="20"/>
        <v/>
      </c>
      <c r="G650" t="str">
        <f t="shared" si="21"/>
        <v/>
      </c>
    </row>
    <row r="651" spans="6:7" x14ac:dyDescent="0.2">
      <c r="F651" t="str">
        <f t="shared" si="20"/>
        <v/>
      </c>
      <c r="G651" t="str">
        <f t="shared" si="21"/>
        <v/>
      </c>
    </row>
    <row r="652" spans="6:7" x14ac:dyDescent="0.2">
      <c r="F652" t="str">
        <f t="shared" si="20"/>
        <v/>
      </c>
      <c r="G652" t="str">
        <f t="shared" si="21"/>
        <v/>
      </c>
    </row>
    <row r="653" spans="6:7" x14ac:dyDescent="0.2">
      <c r="F653" t="str">
        <f t="shared" si="20"/>
        <v/>
      </c>
      <c r="G653" t="str">
        <f t="shared" si="21"/>
        <v/>
      </c>
    </row>
    <row r="654" spans="6:7" x14ac:dyDescent="0.2">
      <c r="F654" t="str">
        <f t="shared" si="20"/>
        <v/>
      </c>
      <c r="G654" t="str">
        <f t="shared" si="21"/>
        <v/>
      </c>
    </row>
    <row r="655" spans="6:7" x14ac:dyDescent="0.2">
      <c r="F655" t="str">
        <f t="shared" si="20"/>
        <v/>
      </c>
      <c r="G655" t="str">
        <f t="shared" si="21"/>
        <v/>
      </c>
    </row>
    <row r="656" spans="6:7" x14ac:dyDescent="0.2">
      <c r="F656" t="str">
        <f t="shared" si="20"/>
        <v/>
      </c>
      <c r="G656" t="str">
        <f t="shared" si="21"/>
        <v/>
      </c>
    </row>
    <row r="657" spans="6:7" x14ac:dyDescent="0.2">
      <c r="F657" t="str">
        <f t="shared" si="20"/>
        <v/>
      </c>
      <c r="G657" t="str">
        <f t="shared" si="21"/>
        <v/>
      </c>
    </row>
    <row r="658" spans="6:7" x14ac:dyDescent="0.2">
      <c r="F658" t="str">
        <f t="shared" si="20"/>
        <v/>
      </c>
      <c r="G658" t="str">
        <f t="shared" si="21"/>
        <v/>
      </c>
    </row>
    <row r="659" spans="6:7" x14ac:dyDescent="0.2">
      <c r="F659" t="str">
        <f t="shared" si="20"/>
        <v/>
      </c>
      <c r="G659" t="str">
        <f t="shared" si="21"/>
        <v/>
      </c>
    </row>
    <row r="660" spans="6:7" x14ac:dyDescent="0.2">
      <c r="F660" t="str">
        <f t="shared" si="20"/>
        <v/>
      </c>
      <c r="G660" t="str">
        <f t="shared" si="21"/>
        <v/>
      </c>
    </row>
    <row r="661" spans="6:7" x14ac:dyDescent="0.2">
      <c r="F661" t="str">
        <f t="shared" si="20"/>
        <v/>
      </c>
      <c r="G661" t="str">
        <f t="shared" si="21"/>
        <v/>
      </c>
    </row>
    <row r="662" spans="6:7" x14ac:dyDescent="0.2">
      <c r="F662" t="str">
        <f t="shared" si="20"/>
        <v/>
      </c>
      <c r="G662" t="str">
        <f t="shared" si="21"/>
        <v/>
      </c>
    </row>
    <row r="663" spans="6:7" x14ac:dyDescent="0.2">
      <c r="F663" t="str">
        <f t="shared" si="20"/>
        <v/>
      </c>
      <c r="G663" t="str">
        <f t="shared" si="21"/>
        <v/>
      </c>
    </row>
    <row r="664" spans="6:7" x14ac:dyDescent="0.2">
      <c r="F664" t="str">
        <f t="shared" si="20"/>
        <v/>
      </c>
      <c r="G664" t="str">
        <f t="shared" si="21"/>
        <v/>
      </c>
    </row>
    <row r="665" spans="6:7" x14ac:dyDescent="0.2">
      <c r="F665" t="str">
        <f t="shared" si="20"/>
        <v/>
      </c>
      <c r="G665" t="str">
        <f t="shared" si="21"/>
        <v/>
      </c>
    </row>
    <row r="666" spans="6:7" x14ac:dyDescent="0.2">
      <c r="F666" t="str">
        <f t="shared" si="20"/>
        <v/>
      </c>
      <c r="G666" t="str">
        <f t="shared" si="21"/>
        <v/>
      </c>
    </row>
    <row r="667" spans="6:7" x14ac:dyDescent="0.2">
      <c r="F667" t="str">
        <f t="shared" si="20"/>
        <v/>
      </c>
      <c r="G667" t="str">
        <f t="shared" si="21"/>
        <v/>
      </c>
    </row>
    <row r="668" spans="6:7" x14ac:dyDescent="0.2">
      <c r="F668" t="str">
        <f t="shared" si="20"/>
        <v/>
      </c>
      <c r="G668" t="str">
        <f t="shared" si="21"/>
        <v/>
      </c>
    </row>
    <row r="669" spans="6:7" x14ac:dyDescent="0.2">
      <c r="F669" t="str">
        <f t="shared" si="20"/>
        <v/>
      </c>
      <c r="G669" t="str">
        <f t="shared" si="21"/>
        <v/>
      </c>
    </row>
    <row r="670" spans="6:7" x14ac:dyDescent="0.2">
      <c r="F670" t="str">
        <f t="shared" si="20"/>
        <v/>
      </c>
      <c r="G670" t="str">
        <f t="shared" si="21"/>
        <v/>
      </c>
    </row>
    <row r="671" spans="6:7" x14ac:dyDescent="0.2">
      <c r="F671" t="str">
        <f t="shared" si="20"/>
        <v/>
      </c>
      <c r="G671" t="str">
        <f t="shared" si="21"/>
        <v/>
      </c>
    </row>
    <row r="672" spans="6:7" x14ac:dyDescent="0.2">
      <c r="F672" t="str">
        <f t="shared" si="20"/>
        <v/>
      </c>
      <c r="G672" t="str">
        <f t="shared" si="21"/>
        <v/>
      </c>
    </row>
    <row r="673" spans="6:7" x14ac:dyDescent="0.2">
      <c r="F673" t="str">
        <f t="shared" si="20"/>
        <v/>
      </c>
      <c r="G673" t="str">
        <f t="shared" si="21"/>
        <v/>
      </c>
    </row>
    <row r="674" spans="6:7" x14ac:dyDescent="0.2">
      <c r="F674" t="str">
        <f t="shared" si="20"/>
        <v/>
      </c>
      <c r="G674" t="str">
        <f t="shared" si="21"/>
        <v/>
      </c>
    </row>
    <row r="675" spans="6:7" x14ac:dyDescent="0.2">
      <c r="F675" t="str">
        <f t="shared" si="20"/>
        <v/>
      </c>
      <c r="G675" t="str">
        <f t="shared" si="21"/>
        <v/>
      </c>
    </row>
    <row r="676" spans="6:7" x14ac:dyDescent="0.2">
      <c r="F676" t="str">
        <f t="shared" si="20"/>
        <v/>
      </c>
      <c r="G676" t="str">
        <f t="shared" si="21"/>
        <v/>
      </c>
    </row>
    <row r="677" spans="6:7" x14ac:dyDescent="0.2">
      <c r="F677" t="str">
        <f t="shared" si="20"/>
        <v/>
      </c>
      <c r="G677" t="str">
        <f t="shared" si="21"/>
        <v/>
      </c>
    </row>
    <row r="678" spans="6:7" x14ac:dyDescent="0.2">
      <c r="F678" t="str">
        <f t="shared" si="20"/>
        <v/>
      </c>
      <c r="G678" t="str">
        <f t="shared" si="21"/>
        <v/>
      </c>
    </row>
    <row r="679" spans="6:7" x14ac:dyDescent="0.2">
      <c r="F679" t="str">
        <f t="shared" si="20"/>
        <v/>
      </c>
      <c r="G679" t="str">
        <f t="shared" si="21"/>
        <v/>
      </c>
    </row>
    <row r="680" spans="6:7" x14ac:dyDescent="0.2">
      <c r="F680" t="str">
        <f t="shared" si="20"/>
        <v/>
      </c>
      <c r="G680" t="str">
        <f t="shared" si="21"/>
        <v/>
      </c>
    </row>
    <row r="681" spans="6:7" x14ac:dyDescent="0.2">
      <c r="F681" t="str">
        <f t="shared" si="20"/>
        <v/>
      </c>
      <c r="G681" t="str">
        <f t="shared" si="21"/>
        <v/>
      </c>
    </row>
    <row r="682" spans="6:7" x14ac:dyDescent="0.2">
      <c r="F682" t="str">
        <f t="shared" si="20"/>
        <v/>
      </c>
      <c r="G682" t="str">
        <f t="shared" si="21"/>
        <v/>
      </c>
    </row>
    <row r="683" spans="6:7" x14ac:dyDescent="0.2">
      <c r="F683" t="str">
        <f t="shared" si="20"/>
        <v/>
      </c>
      <c r="G683" t="str">
        <f t="shared" si="21"/>
        <v/>
      </c>
    </row>
    <row r="684" spans="6:7" x14ac:dyDescent="0.2">
      <c r="F684" t="str">
        <f t="shared" si="20"/>
        <v/>
      </c>
      <c r="G684" t="str">
        <f t="shared" si="21"/>
        <v/>
      </c>
    </row>
    <row r="685" spans="6:7" x14ac:dyDescent="0.2">
      <c r="F685" t="str">
        <f t="shared" si="20"/>
        <v/>
      </c>
      <c r="G685" t="str">
        <f t="shared" si="21"/>
        <v/>
      </c>
    </row>
    <row r="686" spans="6:7" x14ac:dyDescent="0.2">
      <c r="F686" t="str">
        <f t="shared" si="20"/>
        <v/>
      </c>
      <c r="G686" t="str">
        <f t="shared" si="21"/>
        <v/>
      </c>
    </row>
    <row r="687" spans="6:7" x14ac:dyDescent="0.2">
      <c r="F687" t="str">
        <f t="shared" si="20"/>
        <v/>
      </c>
      <c r="G687" t="str">
        <f t="shared" si="21"/>
        <v/>
      </c>
    </row>
    <row r="688" spans="6:7" x14ac:dyDescent="0.2">
      <c r="F688" t="str">
        <f t="shared" si="20"/>
        <v/>
      </c>
      <c r="G688" t="str">
        <f t="shared" si="21"/>
        <v/>
      </c>
    </row>
    <row r="689" spans="6:7" x14ac:dyDescent="0.2">
      <c r="F689" t="str">
        <f t="shared" si="20"/>
        <v/>
      </c>
      <c r="G689" t="str">
        <f t="shared" si="21"/>
        <v/>
      </c>
    </row>
    <row r="690" spans="6:7" x14ac:dyDescent="0.2">
      <c r="F690" t="str">
        <f t="shared" si="20"/>
        <v/>
      </c>
      <c r="G690" t="str">
        <f t="shared" si="21"/>
        <v/>
      </c>
    </row>
    <row r="691" spans="6:7" x14ac:dyDescent="0.2">
      <c r="F691" t="str">
        <f t="shared" si="20"/>
        <v/>
      </c>
      <c r="G691" t="str">
        <f t="shared" si="21"/>
        <v/>
      </c>
    </row>
    <row r="692" spans="6:7" x14ac:dyDescent="0.2">
      <c r="F692" t="str">
        <f t="shared" si="20"/>
        <v/>
      </c>
      <c r="G692" t="str">
        <f t="shared" si="21"/>
        <v/>
      </c>
    </row>
    <row r="693" spans="6:7" x14ac:dyDescent="0.2">
      <c r="F693" t="str">
        <f t="shared" si="20"/>
        <v/>
      </c>
      <c r="G693" t="str">
        <f t="shared" si="21"/>
        <v/>
      </c>
    </row>
    <row r="694" spans="6:7" x14ac:dyDescent="0.2">
      <c r="F694" t="str">
        <f t="shared" si="20"/>
        <v/>
      </c>
      <c r="G694" t="str">
        <f t="shared" si="21"/>
        <v/>
      </c>
    </row>
    <row r="695" spans="6:7" x14ac:dyDescent="0.2">
      <c r="F695" t="str">
        <f t="shared" si="20"/>
        <v/>
      </c>
      <c r="G695" t="str">
        <f t="shared" si="21"/>
        <v/>
      </c>
    </row>
    <row r="696" spans="6:7" x14ac:dyDescent="0.2">
      <c r="F696" t="str">
        <f t="shared" si="20"/>
        <v/>
      </c>
      <c r="G696" t="str">
        <f t="shared" si="21"/>
        <v/>
      </c>
    </row>
    <row r="697" spans="6:7" x14ac:dyDescent="0.2">
      <c r="F697" t="str">
        <f t="shared" si="20"/>
        <v/>
      </c>
      <c r="G697" t="str">
        <f t="shared" si="21"/>
        <v/>
      </c>
    </row>
    <row r="698" spans="6:7" x14ac:dyDescent="0.2">
      <c r="F698" t="str">
        <f t="shared" si="20"/>
        <v/>
      </c>
      <c r="G698" t="str">
        <f t="shared" si="21"/>
        <v/>
      </c>
    </row>
    <row r="699" spans="6:7" x14ac:dyDescent="0.2">
      <c r="F699" t="str">
        <f t="shared" si="20"/>
        <v/>
      </c>
      <c r="G699" t="str">
        <f t="shared" si="21"/>
        <v/>
      </c>
    </row>
    <row r="700" spans="6:7" x14ac:dyDescent="0.2">
      <c r="F700" t="str">
        <f t="shared" si="20"/>
        <v/>
      </c>
      <c r="G700" t="str">
        <f t="shared" si="21"/>
        <v/>
      </c>
    </row>
    <row r="701" spans="6:7" x14ac:dyDescent="0.2">
      <c r="F701" t="str">
        <f t="shared" si="20"/>
        <v/>
      </c>
      <c r="G701" t="str">
        <f t="shared" si="21"/>
        <v/>
      </c>
    </row>
    <row r="702" spans="6:7" x14ac:dyDescent="0.2">
      <c r="F702" t="str">
        <f t="shared" si="20"/>
        <v/>
      </c>
      <c r="G702" t="str">
        <f t="shared" si="21"/>
        <v/>
      </c>
    </row>
    <row r="703" spans="6:7" x14ac:dyDescent="0.2">
      <c r="F703" t="str">
        <f t="shared" si="20"/>
        <v/>
      </c>
      <c r="G703" t="str">
        <f t="shared" si="21"/>
        <v/>
      </c>
    </row>
    <row r="704" spans="6:7" x14ac:dyDescent="0.2">
      <c r="F704" t="str">
        <f t="shared" si="20"/>
        <v/>
      </c>
      <c r="G704" t="str">
        <f t="shared" si="21"/>
        <v/>
      </c>
    </row>
    <row r="705" spans="6:7" x14ac:dyDescent="0.2">
      <c r="F705" t="str">
        <f t="shared" si="20"/>
        <v/>
      </c>
      <c r="G705" t="str">
        <f t="shared" si="21"/>
        <v/>
      </c>
    </row>
    <row r="706" spans="6:7" x14ac:dyDescent="0.2">
      <c r="F706" t="str">
        <f t="shared" ref="F706:F769" si="22">IF(OR(D706="",E706=""),"",E706-D706)</f>
        <v/>
      </c>
      <c r="G706" t="str">
        <f t="shared" ref="G706:G769" si="23">IF(F706="","",IF(F706&gt;0,"ANO","NE"))</f>
        <v/>
      </c>
    </row>
    <row r="707" spans="6:7" x14ac:dyDescent="0.2">
      <c r="F707" t="str">
        <f t="shared" si="22"/>
        <v/>
      </c>
      <c r="G707" t="str">
        <f t="shared" si="23"/>
        <v/>
      </c>
    </row>
    <row r="708" spans="6:7" x14ac:dyDescent="0.2">
      <c r="F708" t="str">
        <f t="shared" si="22"/>
        <v/>
      </c>
      <c r="G708" t="str">
        <f t="shared" si="23"/>
        <v/>
      </c>
    </row>
    <row r="709" spans="6:7" x14ac:dyDescent="0.2">
      <c r="F709" t="str">
        <f t="shared" si="22"/>
        <v/>
      </c>
      <c r="G709" t="str">
        <f t="shared" si="23"/>
        <v/>
      </c>
    </row>
    <row r="710" spans="6:7" x14ac:dyDescent="0.2">
      <c r="F710" t="str">
        <f t="shared" si="22"/>
        <v/>
      </c>
      <c r="G710" t="str">
        <f t="shared" si="23"/>
        <v/>
      </c>
    </row>
    <row r="711" spans="6:7" x14ac:dyDescent="0.2">
      <c r="F711" t="str">
        <f t="shared" si="22"/>
        <v/>
      </c>
      <c r="G711" t="str">
        <f t="shared" si="23"/>
        <v/>
      </c>
    </row>
    <row r="712" spans="6:7" x14ac:dyDescent="0.2">
      <c r="F712" t="str">
        <f t="shared" si="22"/>
        <v/>
      </c>
      <c r="G712" t="str">
        <f t="shared" si="23"/>
        <v/>
      </c>
    </row>
    <row r="713" spans="6:7" x14ac:dyDescent="0.2">
      <c r="F713" t="str">
        <f t="shared" si="22"/>
        <v/>
      </c>
      <c r="G713" t="str">
        <f t="shared" si="23"/>
        <v/>
      </c>
    </row>
    <row r="714" spans="6:7" x14ac:dyDescent="0.2">
      <c r="F714" t="str">
        <f t="shared" si="22"/>
        <v/>
      </c>
      <c r="G714" t="str">
        <f t="shared" si="23"/>
        <v/>
      </c>
    </row>
    <row r="715" spans="6:7" x14ac:dyDescent="0.2">
      <c r="F715" t="str">
        <f t="shared" si="22"/>
        <v/>
      </c>
      <c r="G715" t="str">
        <f t="shared" si="23"/>
        <v/>
      </c>
    </row>
    <row r="716" spans="6:7" x14ac:dyDescent="0.2">
      <c r="F716" t="str">
        <f t="shared" si="22"/>
        <v/>
      </c>
      <c r="G716" t="str">
        <f t="shared" si="23"/>
        <v/>
      </c>
    </row>
    <row r="717" spans="6:7" x14ac:dyDescent="0.2">
      <c r="F717" t="str">
        <f t="shared" si="22"/>
        <v/>
      </c>
      <c r="G717" t="str">
        <f t="shared" si="23"/>
        <v/>
      </c>
    </row>
    <row r="718" spans="6:7" x14ac:dyDescent="0.2">
      <c r="F718" t="str">
        <f t="shared" si="22"/>
        <v/>
      </c>
      <c r="G718" t="str">
        <f t="shared" si="23"/>
        <v/>
      </c>
    </row>
    <row r="719" spans="6:7" x14ac:dyDescent="0.2">
      <c r="F719" t="str">
        <f t="shared" si="22"/>
        <v/>
      </c>
      <c r="G719" t="str">
        <f t="shared" si="23"/>
        <v/>
      </c>
    </row>
    <row r="720" spans="6:7" x14ac:dyDescent="0.2">
      <c r="F720" t="str">
        <f t="shared" si="22"/>
        <v/>
      </c>
      <c r="G720" t="str">
        <f t="shared" si="23"/>
        <v/>
      </c>
    </row>
    <row r="721" spans="6:7" x14ac:dyDescent="0.2">
      <c r="F721" t="str">
        <f t="shared" si="22"/>
        <v/>
      </c>
      <c r="G721" t="str">
        <f t="shared" si="23"/>
        <v/>
      </c>
    </row>
    <row r="722" spans="6:7" x14ac:dyDescent="0.2">
      <c r="F722" t="str">
        <f t="shared" si="22"/>
        <v/>
      </c>
      <c r="G722" t="str">
        <f t="shared" si="23"/>
        <v/>
      </c>
    </row>
    <row r="723" spans="6:7" x14ac:dyDescent="0.2">
      <c r="F723" t="str">
        <f t="shared" si="22"/>
        <v/>
      </c>
      <c r="G723" t="str">
        <f t="shared" si="23"/>
        <v/>
      </c>
    </row>
    <row r="724" spans="6:7" x14ac:dyDescent="0.2">
      <c r="F724" t="str">
        <f t="shared" si="22"/>
        <v/>
      </c>
      <c r="G724" t="str">
        <f t="shared" si="23"/>
        <v/>
      </c>
    </row>
    <row r="725" spans="6:7" x14ac:dyDescent="0.2">
      <c r="F725" t="str">
        <f t="shared" si="22"/>
        <v/>
      </c>
      <c r="G725" t="str">
        <f t="shared" si="23"/>
        <v/>
      </c>
    </row>
    <row r="726" spans="6:7" x14ac:dyDescent="0.2">
      <c r="F726" t="str">
        <f t="shared" si="22"/>
        <v/>
      </c>
      <c r="G726" t="str">
        <f t="shared" si="23"/>
        <v/>
      </c>
    </row>
    <row r="727" spans="6:7" x14ac:dyDescent="0.2">
      <c r="F727" t="str">
        <f t="shared" si="22"/>
        <v/>
      </c>
      <c r="G727" t="str">
        <f t="shared" si="23"/>
        <v/>
      </c>
    </row>
    <row r="728" spans="6:7" x14ac:dyDescent="0.2">
      <c r="F728" t="str">
        <f t="shared" si="22"/>
        <v/>
      </c>
      <c r="G728" t="str">
        <f t="shared" si="23"/>
        <v/>
      </c>
    </row>
    <row r="729" spans="6:7" x14ac:dyDescent="0.2">
      <c r="F729" t="str">
        <f t="shared" si="22"/>
        <v/>
      </c>
      <c r="G729" t="str">
        <f t="shared" si="23"/>
        <v/>
      </c>
    </row>
    <row r="730" spans="6:7" x14ac:dyDescent="0.2">
      <c r="F730" t="str">
        <f t="shared" si="22"/>
        <v/>
      </c>
      <c r="G730" t="str">
        <f t="shared" si="23"/>
        <v/>
      </c>
    </row>
    <row r="731" spans="6:7" x14ac:dyDescent="0.2">
      <c r="F731" t="str">
        <f t="shared" si="22"/>
        <v/>
      </c>
      <c r="G731" t="str">
        <f t="shared" si="23"/>
        <v/>
      </c>
    </row>
    <row r="732" spans="6:7" x14ac:dyDescent="0.2">
      <c r="F732" t="str">
        <f t="shared" si="22"/>
        <v/>
      </c>
      <c r="G732" t="str">
        <f t="shared" si="23"/>
        <v/>
      </c>
    </row>
    <row r="733" spans="6:7" x14ac:dyDescent="0.2">
      <c r="F733" t="str">
        <f t="shared" si="22"/>
        <v/>
      </c>
      <c r="G733" t="str">
        <f t="shared" si="23"/>
        <v/>
      </c>
    </row>
    <row r="734" spans="6:7" x14ac:dyDescent="0.2">
      <c r="F734" t="str">
        <f t="shared" si="22"/>
        <v/>
      </c>
      <c r="G734" t="str">
        <f t="shared" si="23"/>
        <v/>
      </c>
    </row>
    <row r="735" spans="6:7" x14ac:dyDescent="0.2">
      <c r="F735" t="str">
        <f t="shared" si="22"/>
        <v/>
      </c>
      <c r="G735" t="str">
        <f t="shared" si="23"/>
        <v/>
      </c>
    </row>
    <row r="736" spans="6:7" x14ac:dyDescent="0.2">
      <c r="F736" t="str">
        <f t="shared" si="22"/>
        <v/>
      </c>
      <c r="G736" t="str">
        <f t="shared" si="23"/>
        <v/>
      </c>
    </row>
    <row r="737" spans="6:7" x14ac:dyDescent="0.2">
      <c r="F737" t="str">
        <f t="shared" si="22"/>
        <v/>
      </c>
      <c r="G737" t="str">
        <f t="shared" si="23"/>
        <v/>
      </c>
    </row>
    <row r="738" spans="6:7" x14ac:dyDescent="0.2">
      <c r="F738" t="str">
        <f t="shared" si="22"/>
        <v/>
      </c>
      <c r="G738" t="str">
        <f t="shared" si="23"/>
        <v/>
      </c>
    </row>
    <row r="739" spans="6:7" x14ac:dyDescent="0.2">
      <c r="F739" t="str">
        <f t="shared" si="22"/>
        <v/>
      </c>
      <c r="G739" t="str">
        <f t="shared" si="23"/>
        <v/>
      </c>
    </row>
    <row r="740" spans="6:7" x14ac:dyDescent="0.2">
      <c r="F740" t="str">
        <f t="shared" si="22"/>
        <v/>
      </c>
      <c r="G740" t="str">
        <f t="shared" si="23"/>
        <v/>
      </c>
    </row>
    <row r="741" spans="6:7" x14ac:dyDescent="0.2">
      <c r="F741" t="str">
        <f t="shared" si="22"/>
        <v/>
      </c>
      <c r="G741" t="str">
        <f t="shared" si="23"/>
        <v/>
      </c>
    </row>
    <row r="742" spans="6:7" x14ac:dyDescent="0.2">
      <c r="F742" t="str">
        <f t="shared" si="22"/>
        <v/>
      </c>
      <c r="G742" t="str">
        <f t="shared" si="23"/>
        <v/>
      </c>
    </row>
    <row r="743" spans="6:7" x14ac:dyDescent="0.2">
      <c r="F743" t="str">
        <f t="shared" si="22"/>
        <v/>
      </c>
      <c r="G743" t="str">
        <f t="shared" si="23"/>
        <v/>
      </c>
    </row>
    <row r="744" spans="6:7" x14ac:dyDescent="0.2">
      <c r="F744" t="str">
        <f t="shared" si="22"/>
        <v/>
      </c>
      <c r="G744" t="str">
        <f t="shared" si="23"/>
        <v/>
      </c>
    </row>
    <row r="745" spans="6:7" x14ac:dyDescent="0.2">
      <c r="F745" t="str">
        <f t="shared" si="22"/>
        <v/>
      </c>
      <c r="G745" t="str">
        <f t="shared" si="23"/>
        <v/>
      </c>
    </row>
    <row r="746" spans="6:7" x14ac:dyDescent="0.2">
      <c r="F746" t="str">
        <f t="shared" si="22"/>
        <v/>
      </c>
      <c r="G746" t="str">
        <f t="shared" si="23"/>
        <v/>
      </c>
    </row>
    <row r="747" spans="6:7" x14ac:dyDescent="0.2">
      <c r="F747" t="str">
        <f t="shared" si="22"/>
        <v/>
      </c>
      <c r="G747" t="str">
        <f t="shared" si="23"/>
        <v/>
      </c>
    </row>
    <row r="748" spans="6:7" x14ac:dyDescent="0.2">
      <c r="F748" t="str">
        <f t="shared" si="22"/>
        <v/>
      </c>
      <c r="G748" t="str">
        <f t="shared" si="23"/>
        <v/>
      </c>
    </row>
    <row r="749" spans="6:7" x14ac:dyDescent="0.2">
      <c r="F749" t="str">
        <f t="shared" si="22"/>
        <v/>
      </c>
      <c r="G749" t="str">
        <f t="shared" si="23"/>
        <v/>
      </c>
    </row>
    <row r="750" spans="6:7" x14ac:dyDescent="0.2">
      <c r="F750" t="str">
        <f t="shared" si="22"/>
        <v/>
      </c>
      <c r="G750" t="str">
        <f t="shared" si="23"/>
        <v/>
      </c>
    </row>
    <row r="751" spans="6:7" x14ac:dyDescent="0.2">
      <c r="F751" t="str">
        <f t="shared" si="22"/>
        <v/>
      </c>
      <c r="G751" t="str">
        <f t="shared" si="23"/>
        <v/>
      </c>
    </row>
    <row r="752" spans="6:7" x14ac:dyDescent="0.2">
      <c r="F752" t="str">
        <f t="shared" si="22"/>
        <v/>
      </c>
      <c r="G752" t="str">
        <f t="shared" si="23"/>
        <v/>
      </c>
    </row>
    <row r="753" spans="6:7" x14ac:dyDescent="0.2">
      <c r="F753" t="str">
        <f t="shared" si="22"/>
        <v/>
      </c>
      <c r="G753" t="str">
        <f t="shared" si="23"/>
        <v/>
      </c>
    </row>
    <row r="754" spans="6:7" x14ac:dyDescent="0.2">
      <c r="F754" t="str">
        <f t="shared" si="22"/>
        <v/>
      </c>
      <c r="G754" t="str">
        <f t="shared" si="23"/>
        <v/>
      </c>
    </row>
    <row r="755" spans="6:7" x14ac:dyDescent="0.2">
      <c r="F755" t="str">
        <f t="shared" si="22"/>
        <v/>
      </c>
      <c r="G755" t="str">
        <f t="shared" si="23"/>
        <v/>
      </c>
    </row>
    <row r="756" spans="6:7" x14ac:dyDescent="0.2">
      <c r="F756" t="str">
        <f t="shared" si="22"/>
        <v/>
      </c>
      <c r="G756" t="str">
        <f t="shared" si="23"/>
        <v/>
      </c>
    </row>
    <row r="757" spans="6:7" x14ac:dyDescent="0.2">
      <c r="F757" t="str">
        <f t="shared" si="22"/>
        <v/>
      </c>
      <c r="G757" t="str">
        <f t="shared" si="23"/>
        <v/>
      </c>
    </row>
    <row r="758" spans="6:7" x14ac:dyDescent="0.2">
      <c r="F758" t="str">
        <f t="shared" si="22"/>
        <v/>
      </c>
      <c r="G758" t="str">
        <f t="shared" si="23"/>
        <v/>
      </c>
    </row>
    <row r="759" spans="6:7" x14ac:dyDescent="0.2">
      <c r="F759" t="str">
        <f t="shared" si="22"/>
        <v/>
      </c>
      <c r="G759" t="str">
        <f t="shared" si="23"/>
        <v/>
      </c>
    </row>
    <row r="760" spans="6:7" x14ac:dyDescent="0.2">
      <c r="F760" t="str">
        <f t="shared" si="22"/>
        <v/>
      </c>
      <c r="G760" t="str">
        <f t="shared" si="23"/>
        <v/>
      </c>
    </row>
    <row r="761" spans="6:7" x14ac:dyDescent="0.2">
      <c r="F761" t="str">
        <f t="shared" si="22"/>
        <v/>
      </c>
      <c r="G761" t="str">
        <f t="shared" si="23"/>
        <v/>
      </c>
    </row>
    <row r="762" spans="6:7" x14ac:dyDescent="0.2">
      <c r="F762" t="str">
        <f t="shared" si="22"/>
        <v/>
      </c>
      <c r="G762" t="str">
        <f t="shared" si="23"/>
        <v/>
      </c>
    </row>
    <row r="763" spans="6:7" x14ac:dyDescent="0.2">
      <c r="F763" t="str">
        <f t="shared" si="22"/>
        <v/>
      </c>
      <c r="G763" t="str">
        <f t="shared" si="23"/>
        <v/>
      </c>
    </row>
    <row r="764" spans="6:7" x14ac:dyDescent="0.2">
      <c r="F764" t="str">
        <f t="shared" si="22"/>
        <v/>
      </c>
      <c r="G764" t="str">
        <f t="shared" si="23"/>
        <v/>
      </c>
    </row>
    <row r="765" spans="6:7" x14ac:dyDescent="0.2">
      <c r="F765" t="str">
        <f t="shared" si="22"/>
        <v/>
      </c>
      <c r="G765" t="str">
        <f t="shared" si="23"/>
        <v/>
      </c>
    </row>
    <row r="766" spans="6:7" x14ac:dyDescent="0.2">
      <c r="F766" t="str">
        <f t="shared" si="22"/>
        <v/>
      </c>
      <c r="G766" t="str">
        <f t="shared" si="23"/>
        <v/>
      </c>
    </row>
    <row r="767" spans="6:7" x14ac:dyDescent="0.2">
      <c r="F767" t="str">
        <f t="shared" si="22"/>
        <v/>
      </c>
      <c r="G767" t="str">
        <f t="shared" si="23"/>
        <v/>
      </c>
    </row>
    <row r="768" spans="6:7" x14ac:dyDescent="0.2">
      <c r="F768" t="str">
        <f t="shared" si="22"/>
        <v/>
      </c>
      <c r="G768" t="str">
        <f t="shared" si="23"/>
        <v/>
      </c>
    </row>
    <row r="769" spans="6:7" x14ac:dyDescent="0.2">
      <c r="F769" t="str">
        <f t="shared" si="22"/>
        <v/>
      </c>
      <c r="G769" t="str">
        <f t="shared" si="23"/>
        <v/>
      </c>
    </row>
    <row r="770" spans="6:7" x14ac:dyDescent="0.2">
      <c r="F770" t="str">
        <f t="shared" ref="F770:F833" si="24">IF(OR(D770="",E770=""),"",E770-D770)</f>
        <v/>
      </c>
      <c r="G770" t="str">
        <f t="shared" ref="G770:G833" si="25">IF(F770="","",IF(F770&gt;0,"ANO","NE"))</f>
        <v/>
      </c>
    </row>
    <row r="771" spans="6:7" x14ac:dyDescent="0.2">
      <c r="F771" t="str">
        <f t="shared" si="24"/>
        <v/>
      </c>
      <c r="G771" t="str">
        <f t="shared" si="25"/>
        <v/>
      </c>
    </row>
    <row r="772" spans="6:7" x14ac:dyDescent="0.2">
      <c r="F772" t="str">
        <f t="shared" si="24"/>
        <v/>
      </c>
      <c r="G772" t="str">
        <f t="shared" si="25"/>
        <v/>
      </c>
    </row>
    <row r="773" spans="6:7" x14ac:dyDescent="0.2">
      <c r="F773" t="str">
        <f t="shared" si="24"/>
        <v/>
      </c>
      <c r="G773" t="str">
        <f t="shared" si="25"/>
        <v/>
      </c>
    </row>
    <row r="774" spans="6:7" x14ac:dyDescent="0.2">
      <c r="F774" t="str">
        <f t="shared" si="24"/>
        <v/>
      </c>
      <c r="G774" t="str">
        <f t="shared" si="25"/>
        <v/>
      </c>
    </row>
    <row r="775" spans="6:7" x14ac:dyDescent="0.2">
      <c r="F775" t="str">
        <f t="shared" si="24"/>
        <v/>
      </c>
      <c r="G775" t="str">
        <f t="shared" si="25"/>
        <v/>
      </c>
    </row>
    <row r="776" spans="6:7" x14ac:dyDescent="0.2">
      <c r="F776" t="str">
        <f t="shared" si="24"/>
        <v/>
      </c>
      <c r="G776" t="str">
        <f t="shared" si="25"/>
        <v/>
      </c>
    </row>
    <row r="777" spans="6:7" x14ac:dyDescent="0.2">
      <c r="F777" t="str">
        <f t="shared" si="24"/>
        <v/>
      </c>
      <c r="G777" t="str">
        <f t="shared" si="25"/>
        <v/>
      </c>
    </row>
    <row r="778" spans="6:7" x14ac:dyDescent="0.2">
      <c r="F778" t="str">
        <f t="shared" si="24"/>
        <v/>
      </c>
      <c r="G778" t="str">
        <f t="shared" si="25"/>
        <v/>
      </c>
    </row>
    <row r="779" spans="6:7" x14ac:dyDescent="0.2">
      <c r="F779" t="str">
        <f t="shared" si="24"/>
        <v/>
      </c>
      <c r="G779" t="str">
        <f t="shared" si="25"/>
        <v/>
      </c>
    </row>
    <row r="780" spans="6:7" x14ac:dyDescent="0.2">
      <c r="F780" t="str">
        <f t="shared" si="24"/>
        <v/>
      </c>
      <c r="G780" t="str">
        <f t="shared" si="25"/>
        <v/>
      </c>
    </row>
    <row r="781" spans="6:7" x14ac:dyDescent="0.2">
      <c r="F781" t="str">
        <f t="shared" si="24"/>
        <v/>
      </c>
      <c r="G781" t="str">
        <f t="shared" si="25"/>
        <v/>
      </c>
    </row>
    <row r="782" spans="6:7" x14ac:dyDescent="0.2">
      <c r="F782" t="str">
        <f t="shared" si="24"/>
        <v/>
      </c>
      <c r="G782" t="str">
        <f t="shared" si="25"/>
        <v/>
      </c>
    </row>
    <row r="783" spans="6:7" x14ac:dyDescent="0.2">
      <c r="F783" t="str">
        <f t="shared" si="24"/>
        <v/>
      </c>
      <c r="G783" t="str">
        <f t="shared" si="25"/>
        <v/>
      </c>
    </row>
    <row r="784" spans="6:7" x14ac:dyDescent="0.2">
      <c r="F784" t="str">
        <f t="shared" si="24"/>
        <v/>
      </c>
      <c r="G784" t="str">
        <f t="shared" si="25"/>
        <v/>
      </c>
    </row>
    <row r="785" spans="6:7" x14ac:dyDescent="0.2">
      <c r="F785" t="str">
        <f t="shared" si="24"/>
        <v/>
      </c>
      <c r="G785" t="str">
        <f t="shared" si="25"/>
        <v/>
      </c>
    </row>
    <row r="786" spans="6:7" x14ac:dyDescent="0.2">
      <c r="F786" t="str">
        <f t="shared" si="24"/>
        <v/>
      </c>
      <c r="G786" t="str">
        <f t="shared" si="25"/>
        <v/>
      </c>
    </row>
    <row r="787" spans="6:7" x14ac:dyDescent="0.2">
      <c r="F787" t="str">
        <f t="shared" si="24"/>
        <v/>
      </c>
      <c r="G787" t="str">
        <f t="shared" si="25"/>
        <v/>
      </c>
    </row>
    <row r="788" spans="6:7" x14ac:dyDescent="0.2">
      <c r="F788" t="str">
        <f t="shared" si="24"/>
        <v/>
      </c>
      <c r="G788" t="str">
        <f t="shared" si="25"/>
        <v/>
      </c>
    </row>
    <row r="789" spans="6:7" x14ac:dyDescent="0.2">
      <c r="F789" t="str">
        <f t="shared" si="24"/>
        <v/>
      </c>
      <c r="G789" t="str">
        <f t="shared" si="25"/>
        <v/>
      </c>
    </row>
    <row r="790" spans="6:7" x14ac:dyDescent="0.2">
      <c r="F790" t="str">
        <f t="shared" si="24"/>
        <v/>
      </c>
      <c r="G790" t="str">
        <f t="shared" si="25"/>
        <v/>
      </c>
    </row>
    <row r="791" spans="6:7" x14ac:dyDescent="0.2">
      <c r="F791" t="str">
        <f t="shared" si="24"/>
        <v/>
      </c>
      <c r="G791" t="str">
        <f t="shared" si="25"/>
        <v/>
      </c>
    </row>
    <row r="792" spans="6:7" x14ac:dyDescent="0.2">
      <c r="F792" t="str">
        <f t="shared" si="24"/>
        <v/>
      </c>
      <c r="G792" t="str">
        <f t="shared" si="25"/>
        <v/>
      </c>
    </row>
    <row r="793" spans="6:7" x14ac:dyDescent="0.2">
      <c r="F793" t="str">
        <f t="shared" si="24"/>
        <v/>
      </c>
      <c r="G793" t="str">
        <f t="shared" si="25"/>
        <v/>
      </c>
    </row>
    <row r="794" spans="6:7" x14ac:dyDescent="0.2">
      <c r="F794" t="str">
        <f t="shared" si="24"/>
        <v/>
      </c>
      <c r="G794" t="str">
        <f t="shared" si="25"/>
        <v/>
      </c>
    </row>
    <row r="795" spans="6:7" x14ac:dyDescent="0.2">
      <c r="F795" t="str">
        <f t="shared" si="24"/>
        <v/>
      </c>
      <c r="G795" t="str">
        <f t="shared" si="25"/>
        <v/>
      </c>
    </row>
    <row r="796" spans="6:7" x14ac:dyDescent="0.2">
      <c r="F796" t="str">
        <f t="shared" si="24"/>
        <v/>
      </c>
      <c r="G796" t="str">
        <f t="shared" si="25"/>
        <v/>
      </c>
    </row>
    <row r="797" spans="6:7" x14ac:dyDescent="0.2">
      <c r="F797" t="str">
        <f t="shared" si="24"/>
        <v/>
      </c>
      <c r="G797" t="str">
        <f t="shared" si="25"/>
        <v/>
      </c>
    </row>
    <row r="798" spans="6:7" x14ac:dyDescent="0.2">
      <c r="F798" t="str">
        <f t="shared" si="24"/>
        <v/>
      </c>
      <c r="G798" t="str">
        <f t="shared" si="25"/>
        <v/>
      </c>
    </row>
    <row r="799" spans="6:7" x14ac:dyDescent="0.2">
      <c r="F799" t="str">
        <f t="shared" si="24"/>
        <v/>
      </c>
      <c r="G799" t="str">
        <f t="shared" si="25"/>
        <v/>
      </c>
    </row>
    <row r="800" spans="6:7" x14ac:dyDescent="0.2">
      <c r="F800" t="str">
        <f t="shared" si="24"/>
        <v/>
      </c>
      <c r="G800" t="str">
        <f t="shared" si="25"/>
        <v/>
      </c>
    </row>
    <row r="801" spans="6:7" x14ac:dyDescent="0.2">
      <c r="F801" t="str">
        <f t="shared" si="24"/>
        <v/>
      </c>
      <c r="G801" t="str">
        <f t="shared" si="25"/>
        <v/>
      </c>
    </row>
    <row r="802" spans="6:7" x14ac:dyDescent="0.2">
      <c r="F802" t="str">
        <f t="shared" si="24"/>
        <v/>
      </c>
      <c r="G802" t="str">
        <f t="shared" si="25"/>
        <v/>
      </c>
    </row>
    <row r="803" spans="6:7" x14ac:dyDescent="0.2">
      <c r="F803" t="str">
        <f t="shared" si="24"/>
        <v/>
      </c>
      <c r="G803" t="str">
        <f t="shared" si="25"/>
        <v/>
      </c>
    </row>
    <row r="804" spans="6:7" x14ac:dyDescent="0.2">
      <c r="F804" t="str">
        <f t="shared" si="24"/>
        <v/>
      </c>
      <c r="G804" t="str">
        <f t="shared" si="25"/>
        <v/>
      </c>
    </row>
    <row r="805" spans="6:7" x14ac:dyDescent="0.2">
      <c r="F805" t="str">
        <f t="shared" si="24"/>
        <v/>
      </c>
      <c r="G805" t="str">
        <f t="shared" si="25"/>
        <v/>
      </c>
    </row>
    <row r="806" spans="6:7" x14ac:dyDescent="0.2">
      <c r="F806" t="str">
        <f t="shared" si="24"/>
        <v/>
      </c>
      <c r="G806" t="str">
        <f t="shared" si="25"/>
        <v/>
      </c>
    </row>
    <row r="807" spans="6:7" x14ac:dyDescent="0.2">
      <c r="F807" t="str">
        <f t="shared" si="24"/>
        <v/>
      </c>
      <c r="G807" t="str">
        <f t="shared" si="25"/>
        <v/>
      </c>
    </row>
    <row r="808" spans="6:7" x14ac:dyDescent="0.2">
      <c r="F808" t="str">
        <f t="shared" si="24"/>
        <v/>
      </c>
      <c r="G808" t="str">
        <f t="shared" si="25"/>
        <v/>
      </c>
    </row>
    <row r="809" spans="6:7" x14ac:dyDescent="0.2">
      <c r="F809" t="str">
        <f t="shared" si="24"/>
        <v/>
      </c>
      <c r="G809" t="str">
        <f t="shared" si="25"/>
        <v/>
      </c>
    </row>
    <row r="810" spans="6:7" x14ac:dyDescent="0.2">
      <c r="F810" t="str">
        <f t="shared" si="24"/>
        <v/>
      </c>
      <c r="G810" t="str">
        <f t="shared" si="25"/>
        <v/>
      </c>
    </row>
    <row r="811" spans="6:7" x14ac:dyDescent="0.2">
      <c r="F811" t="str">
        <f t="shared" si="24"/>
        <v/>
      </c>
      <c r="G811" t="str">
        <f t="shared" si="25"/>
        <v/>
      </c>
    </row>
    <row r="812" spans="6:7" x14ac:dyDescent="0.2">
      <c r="F812" t="str">
        <f t="shared" si="24"/>
        <v/>
      </c>
      <c r="G812" t="str">
        <f t="shared" si="25"/>
        <v/>
      </c>
    </row>
    <row r="813" spans="6:7" x14ac:dyDescent="0.2">
      <c r="F813" t="str">
        <f t="shared" si="24"/>
        <v/>
      </c>
      <c r="G813" t="str">
        <f t="shared" si="25"/>
        <v/>
      </c>
    </row>
    <row r="814" spans="6:7" x14ac:dyDescent="0.2">
      <c r="F814" t="str">
        <f t="shared" si="24"/>
        <v/>
      </c>
      <c r="G814" t="str">
        <f t="shared" si="25"/>
        <v/>
      </c>
    </row>
    <row r="815" spans="6:7" x14ac:dyDescent="0.2">
      <c r="F815" t="str">
        <f t="shared" si="24"/>
        <v/>
      </c>
      <c r="G815" t="str">
        <f t="shared" si="25"/>
        <v/>
      </c>
    </row>
    <row r="816" spans="6:7" x14ac:dyDescent="0.2">
      <c r="F816" t="str">
        <f t="shared" si="24"/>
        <v/>
      </c>
      <c r="G816" t="str">
        <f t="shared" si="25"/>
        <v/>
      </c>
    </row>
    <row r="817" spans="6:7" x14ac:dyDescent="0.2">
      <c r="F817" t="str">
        <f t="shared" si="24"/>
        <v/>
      </c>
      <c r="G817" t="str">
        <f t="shared" si="25"/>
        <v/>
      </c>
    </row>
    <row r="818" spans="6:7" x14ac:dyDescent="0.2">
      <c r="F818" t="str">
        <f t="shared" si="24"/>
        <v/>
      </c>
      <c r="G818" t="str">
        <f t="shared" si="25"/>
        <v/>
      </c>
    </row>
    <row r="819" spans="6:7" x14ac:dyDescent="0.2">
      <c r="F819" t="str">
        <f t="shared" si="24"/>
        <v/>
      </c>
      <c r="G819" t="str">
        <f t="shared" si="25"/>
        <v/>
      </c>
    </row>
    <row r="820" spans="6:7" x14ac:dyDescent="0.2">
      <c r="F820" t="str">
        <f t="shared" si="24"/>
        <v/>
      </c>
      <c r="G820" t="str">
        <f t="shared" si="25"/>
        <v/>
      </c>
    </row>
    <row r="821" spans="6:7" x14ac:dyDescent="0.2">
      <c r="F821" t="str">
        <f t="shared" si="24"/>
        <v/>
      </c>
      <c r="G821" t="str">
        <f t="shared" si="25"/>
        <v/>
      </c>
    </row>
    <row r="822" spans="6:7" x14ac:dyDescent="0.2">
      <c r="F822" t="str">
        <f t="shared" si="24"/>
        <v/>
      </c>
      <c r="G822" t="str">
        <f t="shared" si="25"/>
        <v/>
      </c>
    </row>
    <row r="823" spans="6:7" x14ac:dyDescent="0.2">
      <c r="F823" t="str">
        <f t="shared" si="24"/>
        <v/>
      </c>
      <c r="G823" t="str">
        <f t="shared" si="25"/>
        <v/>
      </c>
    </row>
    <row r="824" spans="6:7" x14ac:dyDescent="0.2">
      <c r="F824" t="str">
        <f t="shared" si="24"/>
        <v/>
      </c>
      <c r="G824" t="str">
        <f t="shared" si="25"/>
        <v/>
      </c>
    </row>
    <row r="825" spans="6:7" x14ac:dyDescent="0.2">
      <c r="F825" t="str">
        <f t="shared" si="24"/>
        <v/>
      </c>
      <c r="G825" t="str">
        <f t="shared" si="25"/>
        <v/>
      </c>
    </row>
    <row r="826" spans="6:7" x14ac:dyDescent="0.2">
      <c r="F826" t="str">
        <f t="shared" si="24"/>
        <v/>
      </c>
      <c r="G826" t="str">
        <f t="shared" si="25"/>
        <v/>
      </c>
    </row>
    <row r="827" spans="6:7" x14ac:dyDescent="0.2">
      <c r="F827" t="str">
        <f t="shared" si="24"/>
        <v/>
      </c>
      <c r="G827" t="str">
        <f t="shared" si="25"/>
        <v/>
      </c>
    </row>
    <row r="828" spans="6:7" x14ac:dyDescent="0.2">
      <c r="F828" t="str">
        <f t="shared" si="24"/>
        <v/>
      </c>
      <c r="G828" t="str">
        <f t="shared" si="25"/>
        <v/>
      </c>
    </row>
    <row r="829" spans="6:7" x14ac:dyDescent="0.2">
      <c r="F829" t="str">
        <f t="shared" si="24"/>
        <v/>
      </c>
      <c r="G829" t="str">
        <f t="shared" si="25"/>
        <v/>
      </c>
    </row>
    <row r="830" spans="6:7" x14ac:dyDescent="0.2">
      <c r="F830" t="str">
        <f t="shared" si="24"/>
        <v/>
      </c>
      <c r="G830" t="str">
        <f t="shared" si="25"/>
        <v/>
      </c>
    </row>
    <row r="831" spans="6:7" x14ac:dyDescent="0.2">
      <c r="F831" t="str">
        <f t="shared" si="24"/>
        <v/>
      </c>
      <c r="G831" t="str">
        <f t="shared" si="25"/>
        <v/>
      </c>
    </row>
    <row r="832" spans="6:7" x14ac:dyDescent="0.2">
      <c r="F832" t="str">
        <f t="shared" si="24"/>
        <v/>
      </c>
      <c r="G832" t="str">
        <f t="shared" si="25"/>
        <v/>
      </c>
    </row>
    <row r="833" spans="6:7" x14ac:dyDescent="0.2">
      <c r="F833" t="str">
        <f t="shared" si="24"/>
        <v/>
      </c>
      <c r="G833" t="str">
        <f t="shared" si="25"/>
        <v/>
      </c>
    </row>
    <row r="834" spans="6:7" x14ac:dyDescent="0.2">
      <c r="F834" t="str">
        <f t="shared" ref="F834:F897" si="26">IF(OR(D834="",E834=""),"",E834-D834)</f>
        <v/>
      </c>
      <c r="G834" t="str">
        <f t="shared" ref="G834:G897" si="27">IF(F834="","",IF(F834&gt;0,"ANO","NE"))</f>
        <v/>
      </c>
    </row>
    <row r="835" spans="6:7" x14ac:dyDescent="0.2">
      <c r="F835" t="str">
        <f t="shared" si="26"/>
        <v/>
      </c>
      <c r="G835" t="str">
        <f t="shared" si="27"/>
        <v/>
      </c>
    </row>
    <row r="836" spans="6:7" x14ac:dyDescent="0.2">
      <c r="F836" t="str">
        <f t="shared" si="26"/>
        <v/>
      </c>
      <c r="G836" t="str">
        <f t="shared" si="27"/>
        <v/>
      </c>
    </row>
    <row r="837" spans="6:7" x14ac:dyDescent="0.2">
      <c r="F837" t="str">
        <f t="shared" si="26"/>
        <v/>
      </c>
      <c r="G837" t="str">
        <f t="shared" si="27"/>
        <v/>
      </c>
    </row>
    <row r="838" spans="6:7" x14ac:dyDescent="0.2">
      <c r="F838" t="str">
        <f t="shared" si="26"/>
        <v/>
      </c>
      <c r="G838" t="str">
        <f t="shared" si="27"/>
        <v/>
      </c>
    </row>
    <row r="839" spans="6:7" x14ac:dyDescent="0.2">
      <c r="F839" t="str">
        <f t="shared" si="26"/>
        <v/>
      </c>
      <c r="G839" t="str">
        <f t="shared" si="27"/>
        <v/>
      </c>
    </row>
    <row r="840" spans="6:7" x14ac:dyDescent="0.2">
      <c r="F840" t="str">
        <f t="shared" si="26"/>
        <v/>
      </c>
      <c r="G840" t="str">
        <f t="shared" si="27"/>
        <v/>
      </c>
    </row>
    <row r="841" spans="6:7" x14ac:dyDescent="0.2">
      <c r="F841" t="str">
        <f t="shared" si="26"/>
        <v/>
      </c>
      <c r="G841" t="str">
        <f t="shared" si="27"/>
        <v/>
      </c>
    </row>
    <row r="842" spans="6:7" x14ac:dyDescent="0.2">
      <c r="F842" t="str">
        <f t="shared" si="26"/>
        <v/>
      </c>
      <c r="G842" t="str">
        <f t="shared" si="27"/>
        <v/>
      </c>
    </row>
    <row r="843" spans="6:7" x14ac:dyDescent="0.2">
      <c r="F843" t="str">
        <f t="shared" si="26"/>
        <v/>
      </c>
      <c r="G843" t="str">
        <f t="shared" si="27"/>
        <v/>
      </c>
    </row>
    <row r="844" spans="6:7" x14ac:dyDescent="0.2">
      <c r="F844" t="str">
        <f t="shared" si="26"/>
        <v/>
      </c>
      <c r="G844" t="str">
        <f t="shared" si="27"/>
        <v/>
      </c>
    </row>
    <row r="845" spans="6:7" x14ac:dyDescent="0.2">
      <c r="F845" t="str">
        <f t="shared" si="26"/>
        <v/>
      </c>
      <c r="G845" t="str">
        <f t="shared" si="27"/>
        <v/>
      </c>
    </row>
    <row r="846" spans="6:7" x14ac:dyDescent="0.2">
      <c r="F846" t="str">
        <f t="shared" si="26"/>
        <v/>
      </c>
      <c r="G846" t="str">
        <f t="shared" si="27"/>
        <v/>
      </c>
    </row>
    <row r="847" spans="6:7" x14ac:dyDescent="0.2">
      <c r="F847" t="str">
        <f t="shared" si="26"/>
        <v/>
      </c>
      <c r="G847" t="str">
        <f t="shared" si="27"/>
        <v/>
      </c>
    </row>
    <row r="848" spans="6:7" x14ac:dyDescent="0.2">
      <c r="F848" t="str">
        <f t="shared" si="26"/>
        <v/>
      </c>
      <c r="G848" t="str">
        <f t="shared" si="27"/>
        <v/>
      </c>
    </row>
    <row r="849" spans="6:7" x14ac:dyDescent="0.2">
      <c r="F849" t="str">
        <f t="shared" si="26"/>
        <v/>
      </c>
      <c r="G849" t="str">
        <f t="shared" si="27"/>
        <v/>
      </c>
    </row>
    <row r="850" spans="6:7" x14ac:dyDescent="0.2">
      <c r="F850" t="str">
        <f t="shared" si="26"/>
        <v/>
      </c>
      <c r="G850" t="str">
        <f t="shared" si="27"/>
        <v/>
      </c>
    </row>
    <row r="851" spans="6:7" x14ac:dyDescent="0.2">
      <c r="F851" t="str">
        <f t="shared" si="26"/>
        <v/>
      </c>
      <c r="G851" t="str">
        <f t="shared" si="27"/>
        <v/>
      </c>
    </row>
    <row r="852" spans="6:7" x14ac:dyDescent="0.2">
      <c r="F852" t="str">
        <f t="shared" si="26"/>
        <v/>
      </c>
      <c r="G852" t="str">
        <f t="shared" si="27"/>
        <v/>
      </c>
    </row>
    <row r="853" spans="6:7" x14ac:dyDescent="0.2">
      <c r="F853" t="str">
        <f t="shared" si="26"/>
        <v/>
      </c>
      <c r="G853" t="str">
        <f t="shared" si="27"/>
        <v/>
      </c>
    </row>
    <row r="854" spans="6:7" x14ac:dyDescent="0.2">
      <c r="F854" t="str">
        <f t="shared" si="26"/>
        <v/>
      </c>
      <c r="G854" t="str">
        <f t="shared" si="27"/>
        <v/>
      </c>
    </row>
    <row r="855" spans="6:7" x14ac:dyDescent="0.2">
      <c r="F855" t="str">
        <f t="shared" si="26"/>
        <v/>
      </c>
      <c r="G855" t="str">
        <f t="shared" si="27"/>
        <v/>
      </c>
    </row>
    <row r="856" spans="6:7" x14ac:dyDescent="0.2">
      <c r="F856" t="str">
        <f t="shared" si="26"/>
        <v/>
      </c>
      <c r="G856" t="str">
        <f t="shared" si="27"/>
        <v/>
      </c>
    </row>
    <row r="857" spans="6:7" x14ac:dyDescent="0.2">
      <c r="F857" t="str">
        <f t="shared" si="26"/>
        <v/>
      </c>
      <c r="G857" t="str">
        <f t="shared" si="27"/>
        <v/>
      </c>
    </row>
    <row r="858" spans="6:7" x14ac:dyDescent="0.2">
      <c r="F858" t="str">
        <f t="shared" si="26"/>
        <v/>
      </c>
      <c r="G858" t="str">
        <f t="shared" si="27"/>
        <v/>
      </c>
    </row>
    <row r="859" spans="6:7" x14ac:dyDescent="0.2">
      <c r="F859" t="str">
        <f t="shared" si="26"/>
        <v/>
      </c>
      <c r="G859" t="str">
        <f t="shared" si="27"/>
        <v/>
      </c>
    </row>
    <row r="860" spans="6:7" x14ac:dyDescent="0.2">
      <c r="F860" t="str">
        <f t="shared" si="26"/>
        <v/>
      </c>
      <c r="G860" t="str">
        <f t="shared" si="27"/>
        <v/>
      </c>
    </row>
    <row r="861" spans="6:7" x14ac:dyDescent="0.2">
      <c r="F861" t="str">
        <f t="shared" si="26"/>
        <v/>
      </c>
      <c r="G861" t="str">
        <f t="shared" si="27"/>
        <v/>
      </c>
    </row>
    <row r="862" spans="6:7" x14ac:dyDescent="0.2">
      <c r="F862" t="str">
        <f t="shared" si="26"/>
        <v/>
      </c>
      <c r="G862" t="str">
        <f t="shared" si="27"/>
        <v/>
      </c>
    </row>
    <row r="863" spans="6:7" x14ac:dyDescent="0.2">
      <c r="F863" t="str">
        <f t="shared" si="26"/>
        <v/>
      </c>
      <c r="G863" t="str">
        <f t="shared" si="27"/>
        <v/>
      </c>
    </row>
    <row r="864" spans="6:7" x14ac:dyDescent="0.2">
      <c r="F864" t="str">
        <f t="shared" si="26"/>
        <v/>
      </c>
      <c r="G864" t="str">
        <f t="shared" si="27"/>
        <v/>
      </c>
    </row>
    <row r="865" spans="6:7" x14ac:dyDescent="0.2">
      <c r="F865" t="str">
        <f t="shared" si="26"/>
        <v/>
      </c>
      <c r="G865" t="str">
        <f t="shared" si="27"/>
        <v/>
      </c>
    </row>
    <row r="866" spans="6:7" x14ac:dyDescent="0.2">
      <c r="F866" t="str">
        <f t="shared" si="26"/>
        <v/>
      </c>
      <c r="G866" t="str">
        <f t="shared" si="27"/>
        <v/>
      </c>
    </row>
    <row r="867" spans="6:7" x14ac:dyDescent="0.2">
      <c r="F867" t="str">
        <f t="shared" si="26"/>
        <v/>
      </c>
      <c r="G867" t="str">
        <f t="shared" si="27"/>
        <v/>
      </c>
    </row>
    <row r="868" spans="6:7" x14ac:dyDescent="0.2">
      <c r="F868" t="str">
        <f t="shared" si="26"/>
        <v/>
      </c>
      <c r="G868" t="str">
        <f t="shared" si="27"/>
        <v/>
      </c>
    </row>
    <row r="869" spans="6:7" x14ac:dyDescent="0.2">
      <c r="F869" t="str">
        <f t="shared" si="26"/>
        <v/>
      </c>
      <c r="G869" t="str">
        <f t="shared" si="27"/>
        <v/>
      </c>
    </row>
    <row r="870" spans="6:7" x14ac:dyDescent="0.2">
      <c r="F870" t="str">
        <f t="shared" si="26"/>
        <v/>
      </c>
      <c r="G870" t="str">
        <f t="shared" si="27"/>
        <v/>
      </c>
    </row>
    <row r="871" spans="6:7" x14ac:dyDescent="0.2">
      <c r="F871" t="str">
        <f t="shared" si="26"/>
        <v/>
      </c>
      <c r="G871" t="str">
        <f t="shared" si="27"/>
        <v/>
      </c>
    </row>
    <row r="872" spans="6:7" x14ac:dyDescent="0.2">
      <c r="F872" t="str">
        <f t="shared" si="26"/>
        <v/>
      </c>
      <c r="G872" t="str">
        <f t="shared" si="27"/>
        <v/>
      </c>
    </row>
    <row r="873" spans="6:7" x14ac:dyDescent="0.2">
      <c r="F873" t="str">
        <f t="shared" si="26"/>
        <v/>
      </c>
      <c r="G873" t="str">
        <f t="shared" si="27"/>
        <v/>
      </c>
    </row>
    <row r="874" spans="6:7" x14ac:dyDescent="0.2">
      <c r="F874" t="str">
        <f t="shared" si="26"/>
        <v/>
      </c>
      <c r="G874" t="str">
        <f t="shared" si="27"/>
        <v/>
      </c>
    </row>
    <row r="875" spans="6:7" x14ac:dyDescent="0.2">
      <c r="F875" t="str">
        <f t="shared" si="26"/>
        <v/>
      </c>
      <c r="G875" t="str">
        <f t="shared" si="27"/>
        <v/>
      </c>
    </row>
    <row r="876" spans="6:7" x14ac:dyDescent="0.2">
      <c r="F876" t="str">
        <f t="shared" si="26"/>
        <v/>
      </c>
      <c r="G876" t="str">
        <f t="shared" si="27"/>
        <v/>
      </c>
    </row>
    <row r="877" spans="6:7" x14ac:dyDescent="0.2">
      <c r="F877" t="str">
        <f t="shared" si="26"/>
        <v/>
      </c>
      <c r="G877" t="str">
        <f t="shared" si="27"/>
        <v/>
      </c>
    </row>
    <row r="878" spans="6:7" x14ac:dyDescent="0.2">
      <c r="F878" t="str">
        <f t="shared" si="26"/>
        <v/>
      </c>
      <c r="G878" t="str">
        <f t="shared" si="27"/>
        <v/>
      </c>
    </row>
    <row r="879" spans="6:7" x14ac:dyDescent="0.2">
      <c r="F879" t="str">
        <f t="shared" si="26"/>
        <v/>
      </c>
      <c r="G879" t="str">
        <f t="shared" si="27"/>
        <v/>
      </c>
    </row>
    <row r="880" spans="6:7" x14ac:dyDescent="0.2">
      <c r="F880" t="str">
        <f t="shared" si="26"/>
        <v/>
      </c>
      <c r="G880" t="str">
        <f t="shared" si="27"/>
        <v/>
      </c>
    </row>
    <row r="881" spans="6:7" x14ac:dyDescent="0.2">
      <c r="F881" t="str">
        <f t="shared" si="26"/>
        <v/>
      </c>
      <c r="G881" t="str">
        <f t="shared" si="27"/>
        <v/>
      </c>
    </row>
    <row r="882" spans="6:7" x14ac:dyDescent="0.2">
      <c r="F882" t="str">
        <f t="shared" si="26"/>
        <v/>
      </c>
      <c r="G882" t="str">
        <f t="shared" si="27"/>
        <v/>
      </c>
    </row>
    <row r="883" spans="6:7" x14ac:dyDescent="0.2">
      <c r="F883" t="str">
        <f t="shared" si="26"/>
        <v/>
      </c>
      <c r="G883" t="str">
        <f t="shared" si="27"/>
        <v/>
      </c>
    </row>
    <row r="884" spans="6:7" x14ac:dyDescent="0.2">
      <c r="F884" t="str">
        <f t="shared" si="26"/>
        <v/>
      </c>
      <c r="G884" t="str">
        <f t="shared" si="27"/>
        <v/>
      </c>
    </row>
    <row r="885" spans="6:7" x14ac:dyDescent="0.2">
      <c r="F885" t="str">
        <f t="shared" si="26"/>
        <v/>
      </c>
      <c r="G885" t="str">
        <f t="shared" si="27"/>
        <v/>
      </c>
    </row>
    <row r="886" spans="6:7" x14ac:dyDescent="0.2">
      <c r="F886" t="str">
        <f t="shared" si="26"/>
        <v/>
      </c>
      <c r="G886" t="str">
        <f t="shared" si="27"/>
        <v/>
      </c>
    </row>
    <row r="887" spans="6:7" x14ac:dyDescent="0.2">
      <c r="F887" t="str">
        <f t="shared" si="26"/>
        <v/>
      </c>
      <c r="G887" t="str">
        <f t="shared" si="27"/>
        <v/>
      </c>
    </row>
    <row r="888" spans="6:7" x14ac:dyDescent="0.2">
      <c r="F888" t="str">
        <f t="shared" si="26"/>
        <v/>
      </c>
      <c r="G888" t="str">
        <f t="shared" si="27"/>
        <v/>
      </c>
    </row>
    <row r="889" spans="6:7" x14ac:dyDescent="0.2">
      <c r="F889" t="str">
        <f t="shared" si="26"/>
        <v/>
      </c>
      <c r="G889" t="str">
        <f t="shared" si="27"/>
        <v/>
      </c>
    </row>
    <row r="890" spans="6:7" x14ac:dyDescent="0.2">
      <c r="F890" t="str">
        <f t="shared" si="26"/>
        <v/>
      </c>
      <c r="G890" t="str">
        <f t="shared" si="27"/>
        <v/>
      </c>
    </row>
    <row r="891" spans="6:7" x14ac:dyDescent="0.2">
      <c r="F891" t="str">
        <f t="shared" si="26"/>
        <v/>
      </c>
      <c r="G891" t="str">
        <f t="shared" si="27"/>
        <v/>
      </c>
    </row>
    <row r="892" spans="6:7" x14ac:dyDescent="0.2">
      <c r="F892" t="str">
        <f t="shared" si="26"/>
        <v/>
      </c>
      <c r="G892" t="str">
        <f t="shared" si="27"/>
        <v/>
      </c>
    </row>
    <row r="893" spans="6:7" x14ac:dyDescent="0.2">
      <c r="F893" t="str">
        <f t="shared" si="26"/>
        <v/>
      </c>
      <c r="G893" t="str">
        <f t="shared" si="27"/>
        <v/>
      </c>
    </row>
    <row r="894" spans="6:7" x14ac:dyDescent="0.2">
      <c r="F894" t="str">
        <f t="shared" si="26"/>
        <v/>
      </c>
      <c r="G894" t="str">
        <f t="shared" si="27"/>
        <v/>
      </c>
    </row>
    <row r="895" spans="6:7" x14ac:dyDescent="0.2">
      <c r="F895" t="str">
        <f t="shared" si="26"/>
        <v/>
      </c>
      <c r="G895" t="str">
        <f t="shared" si="27"/>
        <v/>
      </c>
    </row>
    <row r="896" spans="6:7" x14ac:dyDescent="0.2">
      <c r="F896" t="str">
        <f t="shared" si="26"/>
        <v/>
      </c>
      <c r="G896" t="str">
        <f t="shared" si="27"/>
        <v/>
      </c>
    </row>
    <row r="897" spans="6:7" x14ac:dyDescent="0.2">
      <c r="F897" t="str">
        <f t="shared" si="26"/>
        <v/>
      </c>
      <c r="G897" t="str">
        <f t="shared" si="27"/>
        <v/>
      </c>
    </row>
    <row r="898" spans="6:7" x14ac:dyDescent="0.2">
      <c r="F898" t="str">
        <f t="shared" ref="F898:F961" si="28">IF(OR(D898="",E898=""),"",E898-D898)</f>
        <v/>
      </c>
      <c r="G898" t="str">
        <f t="shared" ref="G898:G961" si="29">IF(F898="","",IF(F898&gt;0,"ANO","NE"))</f>
        <v/>
      </c>
    </row>
    <row r="899" spans="6:7" x14ac:dyDescent="0.2">
      <c r="F899" t="str">
        <f t="shared" si="28"/>
        <v/>
      </c>
      <c r="G899" t="str">
        <f t="shared" si="29"/>
        <v/>
      </c>
    </row>
    <row r="900" spans="6:7" x14ac:dyDescent="0.2">
      <c r="F900" t="str">
        <f t="shared" si="28"/>
        <v/>
      </c>
      <c r="G900" t="str">
        <f t="shared" si="29"/>
        <v/>
      </c>
    </row>
    <row r="901" spans="6:7" x14ac:dyDescent="0.2">
      <c r="F901" t="str">
        <f t="shared" si="28"/>
        <v/>
      </c>
      <c r="G901" t="str">
        <f t="shared" si="29"/>
        <v/>
      </c>
    </row>
    <row r="902" spans="6:7" x14ac:dyDescent="0.2">
      <c r="F902" t="str">
        <f t="shared" si="28"/>
        <v/>
      </c>
      <c r="G902" t="str">
        <f t="shared" si="29"/>
        <v/>
      </c>
    </row>
    <row r="903" spans="6:7" x14ac:dyDescent="0.2">
      <c r="F903" t="str">
        <f t="shared" si="28"/>
        <v/>
      </c>
      <c r="G903" t="str">
        <f t="shared" si="29"/>
        <v/>
      </c>
    </row>
    <row r="904" spans="6:7" x14ac:dyDescent="0.2">
      <c r="F904" t="str">
        <f t="shared" si="28"/>
        <v/>
      </c>
      <c r="G904" t="str">
        <f t="shared" si="29"/>
        <v/>
      </c>
    </row>
    <row r="905" spans="6:7" x14ac:dyDescent="0.2">
      <c r="F905" t="str">
        <f t="shared" si="28"/>
        <v/>
      </c>
      <c r="G905" t="str">
        <f t="shared" si="29"/>
        <v/>
      </c>
    </row>
    <row r="906" spans="6:7" x14ac:dyDescent="0.2">
      <c r="F906" t="str">
        <f t="shared" si="28"/>
        <v/>
      </c>
      <c r="G906" t="str">
        <f t="shared" si="29"/>
        <v/>
      </c>
    </row>
    <row r="907" spans="6:7" x14ac:dyDescent="0.2">
      <c r="F907" t="str">
        <f t="shared" si="28"/>
        <v/>
      </c>
      <c r="G907" t="str">
        <f t="shared" si="29"/>
        <v/>
      </c>
    </row>
    <row r="908" spans="6:7" x14ac:dyDescent="0.2">
      <c r="F908" t="str">
        <f t="shared" si="28"/>
        <v/>
      </c>
      <c r="G908" t="str">
        <f t="shared" si="29"/>
        <v/>
      </c>
    </row>
    <row r="909" spans="6:7" x14ac:dyDescent="0.2">
      <c r="F909" t="str">
        <f t="shared" si="28"/>
        <v/>
      </c>
      <c r="G909" t="str">
        <f t="shared" si="29"/>
        <v/>
      </c>
    </row>
    <row r="910" spans="6:7" x14ac:dyDescent="0.2">
      <c r="F910" t="str">
        <f t="shared" si="28"/>
        <v/>
      </c>
      <c r="G910" t="str">
        <f t="shared" si="29"/>
        <v/>
      </c>
    </row>
    <row r="911" spans="6:7" x14ac:dyDescent="0.2">
      <c r="F911" t="str">
        <f t="shared" si="28"/>
        <v/>
      </c>
      <c r="G911" t="str">
        <f t="shared" si="29"/>
        <v/>
      </c>
    </row>
    <row r="912" spans="6:7" x14ac:dyDescent="0.2">
      <c r="F912" t="str">
        <f t="shared" si="28"/>
        <v/>
      </c>
      <c r="G912" t="str">
        <f t="shared" si="29"/>
        <v/>
      </c>
    </row>
    <row r="913" spans="6:7" x14ac:dyDescent="0.2">
      <c r="F913" t="str">
        <f t="shared" si="28"/>
        <v/>
      </c>
      <c r="G913" t="str">
        <f t="shared" si="29"/>
        <v/>
      </c>
    </row>
    <row r="914" spans="6:7" x14ac:dyDescent="0.2">
      <c r="F914" t="str">
        <f t="shared" si="28"/>
        <v/>
      </c>
      <c r="G914" t="str">
        <f t="shared" si="29"/>
        <v/>
      </c>
    </row>
    <row r="915" spans="6:7" x14ac:dyDescent="0.2">
      <c r="F915" t="str">
        <f t="shared" si="28"/>
        <v/>
      </c>
      <c r="G915" t="str">
        <f t="shared" si="29"/>
        <v/>
      </c>
    </row>
    <row r="916" spans="6:7" x14ac:dyDescent="0.2">
      <c r="F916" t="str">
        <f t="shared" si="28"/>
        <v/>
      </c>
      <c r="G916" t="str">
        <f t="shared" si="29"/>
        <v/>
      </c>
    </row>
    <row r="917" spans="6:7" x14ac:dyDescent="0.2">
      <c r="F917" t="str">
        <f t="shared" si="28"/>
        <v/>
      </c>
      <c r="G917" t="str">
        <f t="shared" si="29"/>
        <v/>
      </c>
    </row>
    <row r="918" spans="6:7" x14ac:dyDescent="0.2">
      <c r="F918" t="str">
        <f t="shared" si="28"/>
        <v/>
      </c>
      <c r="G918" t="str">
        <f t="shared" si="29"/>
        <v/>
      </c>
    </row>
    <row r="919" spans="6:7" x14ac:dyDescent="0.2">
      <c r="F919" t="str">
        <f t="shared" si="28"/>
        <v/>
      </c>
      <c r="G919" t="str">
        <f t="shared" si="29"/>
        <v/>
      </c>
    </row>
    <row r="920" spans="6:7" x14ac:dyDescent="0.2">
      <c r="F920" t="str">
        <f t="shared" si="28"/>
        <v/>
      </c>
      <c r="G920" t="str">
        <f t="shared" si="29"/>
        <v/>
      </c>
    </row>
    <row r="921" spans="6:7" x14ac:dyDescent="0.2">
      <c r="F921" t="str">
        <f t="shared" si="28"/>
        <v/>
      </c>
      <c r="G921" t="str">
        <f t="shared" si="29"/>
        <v/>
      </c>
    </row>
    <row r="922" spans="6:7" x14ac:dyDescent="0.2">
      <c r="F922" t="str">
        <f t="shared" si="28"/>
        <v/>
      </c>
      <c r="G922" t="str">
        <f t="shared" si="29"/>
        <v/>
      </c>
    </row>
    <row r="923" spans="6:7" x14ac:dyDescent="0.2">
      <c r="F923" t="str">
        <f t="shared" si="28"/>
        <v/>
      </c>
      <c r="G923" t="str">
        <f t="shared" si="29"/>
        <v/>
      </c>
    </row>
    <row r="924" spans="6:7" x14ac:dyDescent="0.2">
      <c r="F924" t="str">
        <f t="shared" si="28"/>
        <v/>
      </c>
      <c r="G924" t="str">
        <f t="shared" si="29"/>
        <v/>
      </c>
    </row>
    <row r="925" spans="6:7" x14ac:dyDescent="0.2">
      <c r="F925" t="str">
        <f t="shared" si="28"/>
        <v/>
      </c>
      <c r="G925" t="str">
        <f t="shared" si="29"/>
        <v/>
      </c>
    </row>
    <row r="926" spans="6:7" x14ac:dyDescent="0.2">
      <c r="F926" t="str">
        <f t="shared" si="28"/>
        <v/>
      </c>
      <c r="G926" t="str">
        <f t="shared" si="29"/>
        <v/>
      </c>
    </row>
    <row r="927" spans="6:7" x14ac:dyDescent="0.2">
      <c r="F927" t="str">
        <f t="shared" si="28"/>
        <v/>
      </c>
      <c r="G927" t="str">
        <f t="shared" si="29"/>
        <v/>
      </c>
    </row>
    <row r="928" spans="6:7" x14ac:dyDescent="0.2">
      <c r="F928" t="str">
        <f t="shared" si="28"/>
        <v/>
      </c>
      <c r="G928" t="str">
        <f t="shared" si="29"/>
        <v/>
      </c>
    </row>
    <row r="929" spans="6:7" x14ac:dyDescent="0.2">
      <c r="F929" t="str">
        <f t="shared" si="28"/>
        <v/>
      </c>
      <c r="G929" t="str">
        <f t="shared" si="29"/>
        <v/>
      </c>
    </row>
    <row r="930" spans="6:7" x14ac:dyDescent="0.2">
      <c r="F930" t="str">
        <f t="shared" si="28"/>
        <v/>
      </c>
      <c r="G930" t="str">
        <f t="shared" si="29"/>
        <v/>
      </c>
    </row>
    <row r="931" spans="6:7" x14ac:dyDescent="0.2">
      <c r="F931" t="str">
        <f t="shared" si="28"/>
        <v/>
      </c>
      <c r="G931" t="str">
        <f t="shared" si="29"/>
        <v/>
      </c>
    </row>
    <row r="932" spans="6:7" x14ac:dyDescent="0.2">
      <c r="F932" t="str">
        <f t="shared" si="28"/>
        <v/>
      </c>
      <c r="G932" t="str">
        <f t="shared" si="29"/>
        <v/>
      </c>
    </row>
    <row r="933" spans="6:7" x14ac:dyDescent="0.2">
      <c r="F933" t="str">
        <f t="shared" si="28"/>
        <v/>
      </c>
      <c r="G933" t="str">
        <f t="shared" si="29"/>
        <v/>
      </c>
    </row>
    <row r="934" spans="6:7" x14ac:dyDescent="0.2">
      <c r="F934" t="str">
        <f t="shared" si="28"/>
        <v/>
      </c>
      <c r="G934" t="str">
        <f t="shared" si="29"/>
        <v/>
      </c>
    </row>
    <row r="935" spans="6:7" x14ac:dyDescent="0.2">
      <c r="F935" t="str">
        <f t="shared" si="28"/>
        <v/>
      </c>
      <c r="G935" t="str">
        <f t="shared" si="29"/>
        <v/>
      </c>
    </row>
    <row r="936" spans="6:7" x14ac:dyDescent="0.2">
      <c r="F936" t="str">
        <f t="shared" si="28"/>
        <v/>
      </c>
      <c r="G936" t="str">
        <f t="shared" si="29"/>
        <v/>
      </c>
    </row>
    <row r="937" spans="6:7" x14ac:dyDescent="0.2">
      <c r="F937" t="str">
        <f t="shared" si="28"/>
        <v/>
      </c>
      <c r="G937" t="str">
        <f t="shared" si="29"/>
        <v/>
      </c>
    </row>
    <row r="938" spans="6:7" x14ac:dyDescent="0.2">
      <c r="F938" t="str">
        <f t="shared" si="28"/>
        <v/>
      </c>
      <c r="G938" t="str">
        <f t="shared" si="29"/>
        <v/>
      </c>
    </row>
    <row r="939" spans="6:7" x14ac:dyDescent="0.2">
      <c r="F939" t="str">
        <f t="shared" si="28"/>
        <v/>
      </c>
      <c r="G939" t="str">
        <f t="shared" si="29"/>
        <v/>
      </c>
    </row>
    <row r="940" spans="6:7" x14ac:dyDescent="0.2">
      <c r="F940" t="str">
        <f t="shared" si="28"/>
        <v/>
      </c>
      <c r="G940" t="str">
        <f t="shared" si="29"/>
        <v/>
      </c>
    </row>
    <row r="941" spans="6:7" x14ac:dyDescent="0.2">
      <c r="F941" t="str">
        <f t="shared" si="28"/>
        <v/>
      </c>
      <c r="G941" t="str">
        <f t="shared" si="29"/>
        <v/>
      </c>
    </row>
    <row r="942" spans="6:7" x14ac:dyDescent="0.2">
      <c r="F942" t="str">
        <f t="shared" si="28"/>
        <v/>
      </c>
      <c r="G942" t="str">
        <f t="shared" si="29"/>
        <v/>
      </c>
    </row>
    <row r="943" spans="6:7" x14ac:dyDescent="0.2">
      <c r="F943" t="str">
        <f t="shared" si="28"/>
        <v/>
      </c>
      <c r="G943" t="str">
        <f t="shared" si="29"/>
        <v/>
      </c>
    </row>
    <row r="944" spans="6:7" x14ac:dyDescent="0.2">
      <c r="F944" t="str">
        <f t="shared" si="28"/>
        <v/>
      </c>
      <c r="G944" t="str">
        <f t="shared" si="29"/>
        <v/>
      </c>
    </row>
    <row r="945" spans="6:7" x14ac:dyDescent="0.2">
      <c r="F945" t="str">
        <f t="shared" si="28"/>
        <v/>
      </c>
      <c r="G945" t="str">
        <f t="shared" si="29"/>
        <v/>
      </c>
    </row>
    <row r="946" spans="6:7" x14ac:dyDescent="0.2">
      <c r="F946" t="str">
        <f t="shared" si="28"/>
        <v/>
      </c>
      <c r="G946" t="str">
        <f t="shared" si="29"/>
        <v/>
      </c>
    </row>
    <row r="947" spans="6:7" x14ac:dyDescent="0.2">
      <c r="F947" t="str">
        <f t="shared" si="28"/>
        <v/>
      </c>
      <c r="G947" t="str">
        <f t="shared" si="29"/>
        <v/>
      </c>
    </row>
    <row r="948" spans="6:7" x14ac:dyDescent="0.2">
      <c r="F948" t="str">
        <f t="shared" si="28"/>
        <v/>
      </c>
      <c r="G948" t="str">
        <f t="shared" si="29"/>
        <v/>
      </c>
    </row>
    <row r="949" spans="6:7" x14ac:dyDescent="0.2">
      <c r="F949" t="str">
        <f t="shared" si="28"/>
        <v/>
      </c>
      <c r="G949" t="str">
        <f t="shared" si="29"/>
        <v/>
      </c>
    </row>
    <row r="950" spans="6:7" x14ac:dyDescent="0.2">
      <c r="F950" t="str">
        <f t="shared" si="28"/>
        <v/>
      </c>
      <c r="G950" t="str">
        <f t="shared" si="29"/>
        <v/>
      </c>
    </row>
    <row r="951" spans="6:7" x14ac:dyDescent="0.2">
      <c r="F951" t="str">
        <f t="shared" si="28"/>
        <v/>
      </c>
      <c r="G951" t="str">
        <f t="shared" si="29"/>
        <v/>
      </c>
    </row>
    <row r="952" spans="6:7" x14ac:dyDescent="0.2">
      <c r="F952" t="str">
        <f t="shared" si="28"/>
        <v/>
      </c>
      <c r="G952" t="str">
        <f t="shared" si="29"/>
        <v/>
      </c>
    </row>
    <row r="953" spans="6:7" x14ac:dyDescent="0.2">
      <c r="F953" t="str">
        <f t="shared" si="28"/>
        <v/>
      </c>
      <c r="G953" t="str">
        <f t="shared" si="29"/>
        <v/>
      </c>
    </row>
    <row r="954" spans="6:7" x14ac:dyDescent="0.2">
      <c r="F954" t="str">
        <f t="shared" si="28"/>
        <v/>
      </c>
      <c r="G954" t="str">
        <f t="shared" si="29"/>
        <v/>
      </c>
    </row>
    <row r="955" spans="6:7" x14ac:dyDescent="0.2">
      <c r="F955" t="str">
        <f t="shared" si="28"/>
        <v/>
      </c>
      <c r="G955" t="str">
        <f t="shared" si="29"/>
        <v/>
      </c>
    </row>
    <row r="956" spans="6:7" x14ac:dyDescent="0.2">
      <c r="F956" t="str">
        <f t="shared" si="28"/>
        <v/>
      </c>
      <c r="G956" t="str">
        <f t="shared" si="29"/>
        <v/>
      </c>
    </row>
    <row r="957" spans="6:7" x14ac:dyDescent="0.2">
      <c r="F957" t="str">
        <f t="shared" si="28"/>
        <v/>
      </c>
      <c r="G957" t="str">
        <f t="shared" si="29"/>
        <v/>
      </c>
    </row>
    <row r="958" spans="6:7" x14ac:dyDescent="0.2">
      <c r="F958" t="str">
        <f t="shared" si="28"/>
        <v/>
      </c>
      <c r="G958" t="str">
        <f t="shared" si="29"/>
        <v/>
      </c>
    </row>
    <row r="959" spans="6:7" x14ac:dyDescent="0.2">
      <c r="F959" t="str">
        <f t="shared" si="28"/>
        <v/>
      </c>
      <c r="G959" t="str">
        <f t="shared" si="29"/>
        <v/>
      </c>
    </row>
    <row r="960" spans="6:7" x14ac:dyDescent="0.2">
      <c r="F960" t="str">
        <f t="shared" si="28"/>
        <v/>
      </c>
      <c r="G960" t="str">
        <f t="shared" si="29"/>
        <v/>
      </c>
    </row>
    <row r="961" spans="6:7" x14ac:dyDescent="0.2">
      <c r="F961" t="str">
        <f t="shared" si="28"/>
        <v/>
      </c>
      <c r="G961" t="str">
        <f t="shared" si="29"/>
        <v/>
      </c>
    </row>
    <row r="962" spans="6:7" x14ac:dyDescent="0.2">
      <c r="F962" t="str">
        <f t="shared" ref="F962:F1025" si="30">IF(OR(D962="",E962=""),"",E962-D962)</f>
        <v/>
      </c>
      <c r="G962" t="str">
        <f t="shared" ref="G962:G1025" si="31">IF(F962="","",IF(F962&gt;0,"ANO","NE"))</f>
        <v/>
      </c>
    </row>
    <row r="963" spans="6:7" x14ac:dyDescent="0.2">
      <c r="F963" t="str">
        <f t="shared" si="30"/>
        <v/>
      </c>
      <c r="G963" t="str">
        <f t="shared" si="31"/>
        <v/>
      </c>
    </row>
    <row r="964" spans="6:7" x14ac:dyDescent="0.2">
      <c r="F964" t="str">
        <f t="shared" si="30"/>
        <v/>
      </c>
      <c r="G964" t="str">
        <f t="shared" si="31"/>
        <v/>
      </c>
    </row>
    <row r="965" spans="6:7" x14ac:dyDescent="0.2">
      <c r="F965" t="str">
        <f t="shared" si="30"/>
        <v/>
      </c>
      <c r="G965" t="str">
        <f t="shared" si="31"/>
        <v/>
      </c>
    </row>
    <row r="966" spans="6:7" x14ac:dyDescent="0.2">
      <c r="F966" t="str">
        <f t="shared" si="30"/>
        <v/>
      </c>
      <c r="G966" t="str">
        <f t="shared" si="31"/>
        <v/>
      </c>
    </row>
    <row r="967" spans="6:7" x14ac:dyDescent="0.2">
      <c r="F967" t="str">
        <f t="shared" si="30"/>
        <v/>
      </c>
      <c r="G967" t="str">
        <f t="shared" si="31"/>
        <v/>
      </c>
    </row>
    <row r="968" spans="6:7" x14ac:dyDescent="0.2">
      <c r="F968" t="str">
        <f t="shared" si="30"/>
        <v/>
      </c>
      <c r="G968" t="str">
        <f t="shared" si="31"/>
        <v/>
      </c>
    </row>
    <row r="969" spans="6:7" x14ac:dyDescent="0.2">
      <c r="F969" t="str">
        <f t="shared" si="30"/>
        <v/>
      </c>
      <c r="G969" t="str">
        <f t="shared" si="31"/>
        <v/>
      </c>
    </row>
    <row r="970" spans="6:7" x14ac:dyDescent="0.2">
      <c r="F970" t="str">
        <f t="shared" si="30"/>
        <v/>
      </c>
      <c r="G970" t="str">
        <f t="shared" si="31"/>
        <v/>
      </c>
    </row>
    <row r="971" spans="6:7" x14ac:dyDescent="0.2">
      <c r="F971" t="str">
        <f t="shared" si="30"/>
        <v/>
      </c>
      <c r="G971" t="str">
        <f t="shared" si="31"/>
        <v/>
      </c>
    </row>
    <row r="972" spans="6:7" x14ac:dyDescent="0.2">
      <c r="F972" t="str">
        <f t="shared" si="30"/>
        <v/>
      </c>
      <c r="G972" t="str">
        <f t="shared" si="31"/>
        <v/>
      </c>
    </row>
    <row r="973" spans="6:7" x14ac:dyDescent="0.2">
      <c r="F973" t="str">
        <f t="shared" si="30"/>
        <v/>
      </c>
      <c r="G973" t="str">
        <f t="shared" si="31"/>
        <v/>
      </c>
    </row>
    <row r="974" spans="6:7" x14ac:dyDescent="0.2">
      <c r="F974" t="str">
        <f t="shared" si="30"/>
        <v/>
      </c>
      <c r="G974" t="str">
        <f t="shared" si="31"/>
        <v/>
      </c>
    </row>
    <row r="975" spans="6:7" x14ac:dyDescent="0.2">
      <c r="F975" t="str">
        <f t="shared" si="30"/>
        <v/>
      </c>
      <c r="G975" t="str">
        <f t="shared" si="31"/>
        <v/>
      </c>
    </row>
    <row r="976" spans="6:7" x14ac:dyDescent="0.2">
      <c r="F976" t="str">
        <f t="shared" si="30"/>
        <v/>
      </c>
      <c r="G976" t="str">
        <f t="shared" si="31"/>
        <v/>
      </c>
    </row>
    <row r="977" spans="6:7" x14ac:dyDescent="0.2">
      <c r="F977" t="str">
        <f t="shared" si="30"/>
        <v/>
      </c>
      <c r="G977" t="str">
        <f t="shared" si="31"/>
        <v/>
      </c>
    </row>
    <row r="978" spans="6:7" x14ac:dyDescent="0.2">
      <c r="F978" t="str">
        <f t="shared" si="30"/>
        <v/>
      </c>
      <c r="G978" t="str">
        <f t="shared" si="31"/>
        <v/>
      </c>
    </row>
    <row r="979" spans="6:7" x14ac:dyDescent="0.2">
      <c r="F979" t="str">
        <f t="shared" si="30"/>
        <v/>
      </c>
      <c r="G979" t="str">
        <f t="shared" si="31"/>
        <v/>
      </c>
    </row>
    <row r="980" spans="6:7" x14ac:dyDescent="0.2">
      <c r="F980" t="str">
        <f t="shared" si="30"/>
        <v/>
      </c>
      <c r="G980" t="str">
        <f t="shared" si="31"/>
        <v/>
      </c>
    </row>
    <row r="981" spans="6:7" x14ac:dyDescent="0.2">
      <c r="F981" t="str">
        <f t="shared" si="30"/>
        <v/>
      </c>
      <c r="G981" t="str">
        <f t="shared" si="31"/>
        <v/>
      </c>
    </row>
    <row r="982" spans="6:7" x14ac:dyDescent="0.2">
      <c r="F982" t="str">
        <f t="shared" si="30"/>
        <v/>
      </c>
      <c r="G982" t="str">
        <f t="shared" si="31"/>
        <v/>
      </c>
    </row>
    <row r="983" spans="6:7" x14ac:dyDescent="0.2">
      <c r="F983" t="str">
        <f t="shared" si="30"/>
        <v/>
      </c>
      <c r="G983" t="str">
        <f t="shared" si="31"/>
        <v/>
      </c>
    </row>
    <row r="984" spans="6:7" x14ac:dyDescent="0.2">
      <c r="F984" t="str">
        <f t="shared" si="30"/>
        <v/>
      </c>
      <c r="G984" t="str">
        <f t="shared" si="31"/>
        <v/>
      </c>
    </row>
    <row r="985" spans="6:7" x14ac:dyDescent="0.2">
      <c r="F985" t="str">
        <f t="shared" si="30"/>
        <v/>
      </c>
      <c r="G985" t="str">
        <f t="shared" si="31"/>
        <v/>
      </c>
    </row>
    <row r="986" spans="6:7" x14ac:dyDescent="0.2">
      <c r="F986" t="str">
        <f t="shared" si="30"/>
        <v/>
      </c>
      <c r="G986" t="str">
        <f t="shared" si="31"/>
        <v/>
      </c>
    </row>
    <row r="987" spans="6:7" x14ac:dyDescent="0.2">
      <c r="F987" t="str">
        <f t="shared" si="30"/>
        <v/>
      </c>
      <c r="G987" t="str">
        <f t="shared" si="31"/>
        <v/>
      </c>
    </row>
    <row r="988" spans="6:7" x14ac:dyDescent="0.2">
      <c r="F988" t="str">
        <f t="shared" si="30"/>
        <v/>
      </c>
      <c r="G988" t="str">
        <f t="shared" si="31"/>
        <v/>
      </c>
    </row>
    <row r="989" spans="6:7" x14ac:dyDescent="0.2">
      <c r="F989" t="str">
        <f t="shared" si="30"/>
        <v/>
      </c>
      <c r="G989" t="str">
        <f t="shared" si="31"/>
        <v/>
      </c>
    </row>
    <row r="990" spans="6:7" x14ac:dyDescent="0.2">
      <c r="F990" t="str">
        <f t="shared" si="30"/>
        <v/>
      </c>
      <c r="G990" t="str">
        <f t="shared" si="31"/>
        <v/>
      </c>
    </row>
    <row r="991" spans="6:7" x14ac:dyDescent="0.2">
      <c r="F991" t="str">
        <f t="shared" si="30"/>
        <v/>
      </c>
      <c r="G991" t="str">
        <f t="shared" si="31"/>
        <v/>
      </c>
    </row>
    <row r="992" spans="6:7" x14ac:dyDescent="0.2">
      <c r="F992" t="str">
        <f t="shared" si="30"/>
        <v/>
      </c>
      <c r="G992" t="str">
        <f t="shared" si="31"/>
        <v/>
      </c>
    </row>
    <row r="993" spans="6:7" x14ac:dyDescent="0.2">
      <c r="F993" t="str">
        <f t="shared" si="30"/>
        <v/>
      </c>
      <c r="G993" t="str">
        <f t="shared" si="31"/>
        <v/>
      </c>
    </row>
    <row r="994" spans="6:7" x14ac:dyDescent="0.2">
      <c r="F994" t="str">
        <f t="shared" si="30"/>
        <v/>
      </c>
      <c r="G994" t="str">
        <f t="shared" si="31"/>
        <v/>
      </c>
    </row>
    <row r="995" spans="6:7" x14ac:dyDescent="0.2">
      <c r="F995" t="str">
        <f t="shared" si="30"/>
        <v/>
      </c>
      <c r="G995" t="str">
        <f t="shared" si="31"/>
        <v/>
      </c>
    </row>
    <row r="996" spans="6:7" x14ac:dyDescent="0.2">
      <c r="F996" t="str">
        <f t="shared" si="30"/>
        <v/>
      </c>
      <c r="G996" t="str">
        <f t="shared" si="31"/>
        <v/>
      </c>
    </row>
    <row r="997" spans="6:7" x14ac:dyDescent="0.2">
      <c r="F997" t="str">
        <f t="shared" si="30"/>
        <v/>
      </c>
      <c r="G997" t="str">
        <f t="shared" si="31"/>
        <v/>
      </c>
    </row>
    <row r="998" spans="6:7" x14ac:dyDescent="0.2">
      <c r="F998" t="str">
        <f t="shared" si="30"/>
        <v/>
      </c>
      <c r="G998" t="str">
        <f t="shared" si="31"/>
        <v/>
      </c>
    </row>
    <row r="999" spans="6:7" x14ac:dyDescent="0.2">
      <c r="F999" t="str">
        <f t="shared" si="30"/>
        <v/>
      </c>
      <c r="G999" t="str">
        <f t="shared" si="31"/>
        <v/>
      </c>
    </row>
    <row r="1000" spans="6:7" x14ac:dyDescent="0.2">
      <c r="F1000" t="str">
        <f t="shared" si="30"/>
        <v/>
      </c>
      <c r="G1000" t="str">
        <f t="shared" si="31"/>
        <v/>
      </c>
    </row>
    <row r="1001" spans="6:7" x14ac:dyDescent="0.2">
      <c r="F1001" t="str">
        <f t="shared" si="30"/>
        <v/>
      </c>
      <c r="G1001" t="str">
        <f t="shared" si="31"/>
        <v/>
      </c>
    </row>
    <row r="1002" spans="6:7" x14ac:dyDescent="0.2">
      <c r="F1002" t="str">
        <f t="shared" si="30"/>
        <v/>
      </c>
      <c r="G1002" t="str">
        <f t="shared" si="31"/>
        <v/>
      </c>
    </row>
    <row r="1003" spans="6:7" x14ac:dyDescent="0.2">
      <c r="F1003" t="str">
        <f t="shared" si="30"/>
        <v/>
      </c>
      <c r="G1003" t="str">
        <f t="shared" si="31"/>
        <v/>
      </c>
    </row>
    <row r="1004" spans="6:7" x14ac:dyDescent="0.2">
      <c r="F1004" t="str">
        <f t="shared" si="30"/>
        <v/>
      </c>
      <c r="G1004" t="str">
        <f t="shared" si="31"/>
        <v/>
      </c>
    </row>
    <row r="1005" spans="6:7" x14ac:dyDescent="0.2">
      <c r="F1005" t="str">
        <f t="shared" si="30"/>
        <v/>
      </c>
      <c r="G1005" t="str">
        <f t="shared" si="31"/>
        <v/>
      </c>
    </row>
    <row r="1006" spans="6:7" x14ac:dyDescent="0.2">
      <c r="F1006" t="str">
        <f t="shared" si="30"/>
        <v/>
      </c>
      <c r="G1006" t="str">
        <f t="shared" si="31"/>
        <v/>
      </c>
    </row>
    <row r="1007" spans="6:7" x14ac:dyDescent="0.2">
      <c r="F1007" t="str">
        <f t="shared" si="30"/>
        <v/>
      </c>
      <c r="G1007" t="str">
        <f t="shared" si="31"/>
        <v/>
      </c>
    </row>
    <row r="1008" spans="6:7" x14ac:dyDescent="0.2">
      <c r="F1008" t="str">
        <f t="shared" si="30"/>
        <v/>
      </c>
      <c r="G1008" t="str">
        <f t="shared" si="31"/>
        <v/>
      </c>
    </row>
    <row r="1009" spans="6:7" x14ac:dyDescent="0.2">
      <c r="F1009" t="str">
        <f t="shared" si="30"/>
        <v/>
      </c>
      <c r="G1009" t="str">
        <f t="shared" si="31"/>
        <v/>
      </c>
    </row>
    <row r="1010" spans="6:7" x14ac:dyDescent="0.2">
      <c r="F1010" t="str">
        <f t="shared" si="30"/>
        <v/>
      </c>
      <c r="G1010" t="str">
        <f t="shared" si="31"/>
        <v/>
      </c>
    </row>
    <row r="1011" spans="6:7" x14ac:dyDescent="0.2">
      <c r="F1011" t="str">
        <f t="shared" si="30"/>
        <v/>
      </c>
      <c r="G1011" t="str">
        <f t="shared" si="31"/>
        <v/>
      </c>
    </row>
    <row r="1012" spans="6:7" x14ac:dyDescent="0.2">
      <c r="F1012" t="str">
        <f t="shared" si="30"/>
        <v/>
      </c>
      <c r="G1012" t="str">
        <f t="shared" si="31"/>
        <v/>
      </c>
    </row>
    <row r="1013" spans="6:7" x14ac:dyDescent="0.2">
      <c r="F1013" t="str">
        <f t="shared" si="30"/>
        <v/>
      </c>
      <c r="G1013" t="str">
        <f t="shared" si="31"/>
        <v/>
      </c>
    </row>
    <row r="1014" spans="6:7" x14ac:dyDescent="0.2">
      <c r="F1014" t="str">
        <f t="shared" si="30"/>
        <v/>
      </c>
      <c r="G1014" t="str">
        <f t="shared" si="31"/>
        <v/>
      </c>
    </row>
    <row r="1015" spans="6:7" x14ac:dyDescent="0.2">
      <c r="F1015" t="str">
        <f t="shared" si="30"/>
        <v/>
      </c>
      <c r="G1015" t="str">
        <f t="shared" si="31"/>
        <v/>
      </c>
    </row>
    <row r="1016" spans="6:7" x14ac:dyDescent="0.2">
      <c r="F1016" t="str">
        <f t="shared" si="30"/>
        <v/>
      </c>
      <c r="G1016" t="str">
        <f t="shared" si="31"/>
        <v/>
      </c>
    </row>
    <row r="1017" spans="6:7" x14ac:dyDescent="0.2">
      <c r="F1017" t="str">
        <f t="shared" si="30"/>
        <v/>
      </c>
      <c r="G1017" t="str">
        <f t="shared" si="31"/>
        <v/>
      </c>
    </row>
    <row r="1018" spans="6:7" x14ac:dyDescent="0.2">
      <c r="F1018" t="str">
        <f t="shared" si="30"/>
        <v/>
      </c>
      <c r="G1018" t="str">
        <f t="shared" si="31"/>
        <v/>
      </c>
    </row>
    <row r="1019" spans="6:7" x14ac:dyDescent="0.2">
      <c r="F1019" t="str">
        <f t="shared" si="30"/>
        <v/>
      </c>
      <c r="G1019" t="str">
        <f t="shared" si="31"/>
        <v/>
      </c>
    </row>
    <row r="1020" spans="6:7" x14ac:dyDescent="0.2">
      <c r="F1020" t="str">
        <f t="shared" si="30"/>
        <v/>
      </c>
      <c r="G1020" t="str">
        <f t="shared" si="31"/>
        <v/>
      </c>
    </row>
    <row r="1021" spans="6:7" x14ac:dyDescent="0.2">
      <c r="F1021" t="str">
        <f t="shared" si="30"/>
        <v/>
      </c>
      <c r="G1021" t="str">
        <f t="shared" si="31"/>
        <v/>
      </c>
    </row>
    <row r="1022" spans="6:7" x14ac:dyDescent="0.2">
      <c r="F1022" t="str">
        <f t="shared" si="30"/>
        <v/>
      </c>
      <c r="G1022" t="str">
        <f t="shared" si="31"/>
        <v/>
      </c>
    </row>
    <row r="1023" spans="6:7" x14ac:dyDescent="0.2">
      <c r="F1023" t="str">
        <f t="shared" si="30"/>
        <v/>
      </c>
      <c r="G1023" t="str">
        <f t="shared" si="31"/>
        <v/>
      </c>
    </row>
    <row r="1024" spans="6:7" x14ac:dyDescent="0.2">
      <c r="F1024" t="str">
        <f t="shared" si="30"/>
        <v/>
      </c>
      <c r="G1024" t="str">
        <f t="shared" si="31"/>
        <v/>
      </c>
    </row>
    <row r="1025" spans="6:7" x14ac:dyDescent="0.2">
      <c r="F1025" t="str">
        <f t="shared" si="30"/>
        <v/>
      </c>
      <c r="G1025" t="str">
        <f t="shared" si="31"/>
        <v/>
      </c>
    </row>
    <row r="1026" spans="6:7" x14ac:dyDescent="0.2">
      <c r="F1026" t="str">
        <f t="shared" ref="F1026:F1089" si="32">IF(OR(D1026="",E1026=""),"",E1026-D1026)</f>
        <v/>
      </c>
      <c r="G1026" t="str">
        <f t="shared" ref="G1026:G1089" si="33">IF(F1026="","",IF(F1026&gt;0,"ANO","NE"))</f>
        <v/>
      </c>
    </row>
    <row r="1027" spans="6:7" x14ac:dyDescent="0.2">
      <c r="F1027" t="str">
        <f t="shared" si="32"/>
        <v/>
      </c>
      <c r="G1027" t="str">
        <f t="shared" si="33"/>
        <v/>
      </c>
    </row>
    <row r="1028" spans="6:7" x14ac:dyDescent="0.2">
      <c r="F1028" t="str">
        <f t="shared" si="32"/>
        <v/>
      </c>
      <c r="G1028" t="str">
        <f t="shared" si="33"/>
        <v/>
      </c>
    </row>
    <row r="1029" spans="6:7" x14ac:dyDescent="0.2">
      <c r="F1029" t="str">
        <f t="shared" si="32"/>
        <v/>
      </c>
      <c r="G1029" t="str">
        <f t="shared" si="33"/>
        <v/>
      </c>
    </row>
    <row r="1030" spans="6:7" x14ac:dyDescent="0.2">
      <c r="F1030" t="str">
        <f t="shared" si="32"/>
        <v/>
      </c>
      <c r="G1030" t="str">
        <f t="shared" si="33"/>
        <v/>
      </c>
    </row>
    <row r="1031" spans="6:7" x14ac:dyDescent="0.2">
      <c r="F1031" t="str">
        <f t="shared" si="32"/>
        <v/>
      </c>
      <c r="G1031" t="str">
        <f t="shared" si="33"/>
        <v/>
      </c>
    </row>
    <row r="1032" spans="6:7" x14ac:dyDescent="0.2">
      <c r="F1032" t="str">
        <f t="shared" si="32"/>
        <v/>
      </c>
      <c r="G1032" t="str">
        <f t="shared" si="33"/>
        <v/>
      </c>
    </row>
    <row r="1033" spans="6:7" x14ac:dyDescent="0.2">
      <c r="F1033" t="str">
        <f t="shared" si="32"/>
        <v/>
      </c>
      <c r="G1033" t="str">
        <f t="shared" si="33"/>
        <v/>
      </c>
    </row>
    <row r="1034" spans="6:7" x14ac:dyDescent="0.2">
      <c r="F1034" t="str">
        <f t="shared" si="32"/>
        <v/>
      </c>
      <c r="G1034" t="str">
        <f t="shared" si="33"/>
        <v/>
      </c>
    </row>
    <row r="1035" spans="6:7" x14ac:dyDescent="0.2">
      <c r="F1035" t="str">
        <f t="shared" si="32"/>
        <v/>
      </c>
      <c r="G1035" t="str">
        <f t="shared" si="33"/>
        <v/>
      </c>
    </row>
    <row r="1036" spans="6:7" x14ac:dyDescent="0.2">
      <c r="F1036" t="str">
        <f t="shared" si="32"/>
        <v/>
      </c>
      <c r="G1036" t="str">
        <f t="shared" si="33"/>
        <v/>
      </c>
    </row>
    <row r="1037" spans="6:7" x14ac:dyDescent="0.2">
      <c r="F1037" t="str">
        <f t="shared" si="32"/>
        <v/>
      </c>
      <c r="G1037" t="str">
        <f t="shared" si="33"/>
        <v/>
      </c>
    </row>
    <row r="1038" spans="6:7" x14ac:dyDescent="0.2">
      <c r="F1038" t="str">
        <f t="shared" si="32"/>
        <v/>
      </c>
      <c r="G1038" t="str">
        <f t="shared" si="33"/>
        <v/>
      </c>
    </row>
    <row r="1039" spans="6:7" x14ac:dyDescent="0.2">
      <c r="F1039" t="str">
        <f t="shared" si="32"/>
        <v/>
      </c>
      <c r="G1039" t="str">
        <f t="shared" si="33"/>
        <v/>
      </c>
    </row>
    <row r="1040" spans="6:7" x14ac:dyDescent="0.2">
      <c r="F1040" t="str">
        <f t="shared" si="32"/>
        <v/>
      </c>
      <c r="G1040" t="str">
        <f t="shared" si="33"/>
        <v/>
      </c>
    </row>
    <row r="1041" spans="6:7" x14ac:dyDescent="0.2">
      <c r="F1041" t="str">
        <f t="shared" si="32"/>
        <v/>
      </c>
      <c r="G1041" t="str">
        <f t="shared" si="33"/>
        <v/>
      </c>
    </row>
    <row r="1042" spans="6:7" x14ac:dyDescent="0.2">
      <c r="F1042" t="str">
        <f t="shared" si="32"/>
        <v/>
      </c>
      <c r="G1042" t="str">
        <f t="shared" si="33"/>
        <v/>
      </c>
    </row>
    <row r="1043" spans="6:7" x14ac:dyDescent="0.2">
      <c r="F1043" t="str">
        <f t="shared" si="32"/>
        <v/>
      </c>
      <c r="G1043" t="str">
        <f t="shared" si="33"/>
        <v/>
      </c>
    </row>
    <row r="1044" spans="6:7" x14ac:dyDescent="0.2">
      <c r="F1044" t="str">
        <f t="shared" si="32"/>
        <v/>
      </c>
      <c r="G1044" t="str">
        <f t="shared" si="33"/>
        <v/>
      </c>
    </row>
    <row r="1045" spans="6:7" x14ac:dyDescent="0.2">
      <c r="F1045" t="str">
        <f t="shared" si="32"/>
        <v/>
      </c>
      <c r="G1045" t="str">
        <f t="shared" si="33"/>
        <v/>
      </c>
    </row>
    <row r="1046" spans="6:7" x14ac:dyDescent="0.2">
      <c r="F1046" t="str">
        <f t="shared" si="32"/>
        <v/>
      </c>
      <c r="G1046" t="str">
        <f t="shared" si="33"/>
        <v/>
      </c>
    </row>
    <row r="1047" spans="6:7" x14ac:dyDescent="0.2">
      <c r="F1047" t="str">
        <f t="shared" si="32"/>
        <v/>
      </c>
      <c r="G1047" t="str">
        <f t="shared" si="33"/>
        <v/>
      </c>
    </row>
    <row r="1048" spans="6:7" x14ac:dyDescent="0.2">
      <c r="F1048" t="str">
        <f t="shared" si="32"/>
        <v/>
      </c>
      <c r="G1048" t="str">
        <f t="shared" si="33"/>
        <v/>
      </c>
    </row>
    <row r="1049" spans="6:7" x14ac:dyDescent="0.2">
      <c r="F1049" t="str">
        <f t="shared" si="32"/>
        <v/>
      </c>
      <c r="G1049" t="str">
        <f t="shared" si="33"/>
        <v/>
      </c>
    </row>
    <row r="1050" spans="6:7" x14ac:dyDescent="0.2">
      <c r="F1050" t="str">
        <f t="shared" si="32"/>
        <v/>
      </c>
      <c r="G1050" t="str">
        <f t="shared" si="33"/>
        <v/>
      </c>
    </row>
    <row r="1051" spans="6:7" x14ac:dyDescent="0.2">
      <c r="F1051" t="str">
        <f t="shared" si="32"/>
        <v/>
      </c>
      <c r="G1051" t="str">
        <f t="shared" si="33"/>
        <v/>
      </c>
    </row>
    <row r="1052" spans="6:7" x14ac:dyDescent="0.2">
      <c r="F1052" t="str">
        <f t="shared" si="32"/>
        <v/>
      </c>
      <c r="G1052" t="str">
        <f t="shared" si="33"/>
        <v/>
      </c>
    </row>
    <row r="1053" spans="6:7" x14ac:dyDescent="0.2">
      <c r="F1053" t="str">
        <f t="shared" si="32"/>
        <v/>
      </c>
      <c r="G1053" t="str">
        <f t="shared" si="33"/>
        <v/>
      </c>
    </row>
    <row r="1054" spans="6:7" x14ac:dyDescent="0.2">
      <c r="F1054" t="str">
        <f t="shared" si="32"/>
        <v/>
      </c>
      <c r="G1054" t="str">
        <f t="shared" si="33"/>
        <v/>
      </c>
    </row>
    <row r="1055" spans="6:7" x14ac:dyDescent="0.2">
      <c r="F1055" t="str">
        <f t="shared" si="32"/>
        <v/>
      </c>
      <c r="G1055" t="str">
        <f t="shared" si="33"/>
        <v/>
      </c>
    </row>
    <row r="1056" spans="6:7" x14ac:dyDescent="0.2">
      <c r="F1056" t="str">
        <f t="shared" si="32"/>
        <v/>
      </c>
      <c r="G1056" t="str">
        <f t="shared" si="33"/>
        <v/>
      </c>
    </row>
    <row r="1057" spans="6:7" x14ac:dyDescent="0.2">
      <c r="F1057" t="str">
        <f t="shared" si="32"/>
        <v/>
      </c>
      <c r="G1057" t="str">
        <f t="shared" si="33"/>
        <v/>
      </c>
    </row>
    <row r="1058" spans="6:7" x14ac:dyDescent="0.2">
      <c r="F1058" t="str">
        <f t="shared" si="32"/>
        <v/>
      </c>
      <c r="G1058" t="str">
        <f t="shared" si="33"/>
        <v/>
      </c>
    </row>
    <row r="1059" spans="6:7" x14ac:dyDescent="0.2">
      <c r="F1059" t="str">
        <f t="shared" si="32"/>
        <v/>
      </c>
      <c r="G1059" t="str">
        <f t="shared" si="33"/>
        <v/>
      </c>
    </row>
    <row r="1060" spans="6:7" x14ac:dyDescent="0.2">
      <c r="F1060" t="str">
        <f t="shared" si="32"/>
        <v/>
      </c>
      <c r="G1060" t="str">
        <f t="shared" si="33"/>
        <v/>
      </c>
    </row>
    <row r="1061" spans="6:7" x14ac:dyDescent="0.2">
      <c r="F1061" t="str">
        <f t="shared" si="32"/>
        <v/>
      </c>
      <c r="G1061" t="str">
        <f t="shared" si="33"/>
        <v/>
      </c>
    </row>
    <row r="1062" spans="6:7" x14ac:dyDescent="0.2">
      <c r="F1062" t="str">
        <f t="shared" si="32"/>
        <v/>
      </c>
      <c r="G1062" t="str">
        <f t="shared" si="33"/>
        <v/>
      </c>
    </row>
    <row r="1063" spans="6:7" x14ac:dyDescent="0.2">
      <c r="F1063" t="str">
        <f t="shared" si="32"/>
        <v/>
      </c>
      <c r="G1063" t="str">
        <f t="shared" si="33"/>
        <v/>
      </c>
    </row>
    <row r="1064" spans="6:7" x14ac:dyDescent="0.2">
      <c r="F1064" t="str">
        <f t="shared" si="32"/>
        <v/>
      </c>
      <c r="G1064" t="str">
        <f t="shared" si="33"/>
        <v/>
      </c>
    </row>
    <row r="1065" spans="6:7" x14ac:dyDescent="0.2">
      <c r="F1065" t="str">
        <f t="shared" si="32"/>
        <v/>
      </c>
      <c r="G1065" t="str">
        <f t="shared" si="33"/>
        <v/>
      </c>
    </row>
    <row r="1066" spans="6:7" x14ac:dyDescent="0.2">
      <c r="F1066" t="str">
        <f t="shared" si="32"/>
        <v/>
      </c>
      <c r="G1066" t="str">
        <f t="shared" si="33"/>
        <v/>
      </c>
    </row>
    <row r="1067" spans="6:7" x14ac:dyDescent="0.2">
      <c r="F1067" t="str">
        <f t="shared" si="32"/>
        <v/>
      </c>
      <c r="G1067" t="str">
        <f t="shared" si="33"/>
        <v/>
      </c>
    </row>
    <row r="1068" spans="6:7" x14ac:dyDescent="0.2">
      <c r="F1068" t="str">
        <f t="shared" si="32"/>
        <v/>
      </c>
      <c r="G1068" t="str">
        <f t="shared" si="33"/>
        <v/>
      </c>
    </row>
    <row r="1069" spans="6:7" x14ac:dyDescent="0.2">
      <c r="F1069" t="str">
        <f t="shared" si="32"/>
        <v/>
      </c>
      <c r="G1069" t="str">
        <f t="shared" si="33"/>
        <v/>
      </c>
    </row>
    <row r="1070" spans="6:7" x14ac:dyDescent="0.2">
      <c r="F1070" t="str">
        <f t="shared" si="32"/>
        <v/>
      </c>
      <c r="G1070" t="str">
        <f t="shared" si="33"/>
        <v/>
      </c>
    </row>
    <row r="1071" spans="6:7" x14ac:dyDescent="0.2">
      <c r="F1071" t="str">
        <f t="shared" si="32"/>
        <v/>
      </c>
      <c r="G1071" t="str">
        <f t="shared" si="33"/>
        <v/>
      </c>
    </row>
    <row r="1072" spans="6:7" x14ac:dyDescent="0.2">
      <c r="F1072" t="str">
        <f t="shared" si="32"/>
        <v/>
      </c>
      <c r="G1072" t="str">
        <f t="shared" si="33"/>
        <v/>
      </c>
    </row>
    <row r="1073" spans="6:7" x14ac:dyDescent="0.2">
      <c r="F1073" t="str">
        <f t="shared" si="32"/>
        <v/>
      </c>
      <c r="G1073" t="str">
        <f t="shared" si="33"/>
        <v/>
      </c>
    </row>
    <row r="1074" spans="6:7" x14ac:dyDescent="0.2">
      <c r="F1074" t="str">
        <f t="shared" si="32"/>
        <v/>
      </c>
      <c r="G1074" t="str">
        <f t="shared" si="33"/>
        <v/>
      </c>
    </row>
    <row r="1075" spans="6:7" x14ac:dyDescent="0.2">
      <c r="F1075" t="str">
        <f t="shared" si="32"/>
        <v/>
      </c>
      <c r="G1075" t="str">
        <f t="shared" si="33"/>
        <v/>
      </c>
    </row>
    <row r="1076" spans="6:7" x14ac:dyDescent="0.2">
      <c r="F1076" t="str">
        <f t="shared" si="32"/>
        <v/>
      </c>
      <c r="G1076" t="str">
        <f t="shared" si="33"/>
        <v/>
      </c>
    </row>
    <row r="1077" spans="6:7" x14ac:dyDescent="0.2">
      <c r="F1077" t="str">
        <f t="shared" si="32"/>
        <v/>
      </c>
      <c r="G1077" t="str">
        <f t="shared" si="33"/>
        <v/>
      </c>
    </row>
    <row r="1078" spans="6:7" x14ac:dyDescent="0.2">
      <c r="F1078" t="str">
        <f t="shared" si="32"/>
        <v/>
      </c>
      <c r="G1078" t="str">
        <f t="shared" si="33"/>
        <v/>
      </c>
    </row>
    <row r="1079" spans="6:7" x14ac:dyDescent="0.2">
      <c r="F1079" t="str">
        <f t="shared" si="32"/>
        <v/>
      </c>
      <c r="G1079" t="str">
        <f t="shared" si="33"/>
        <v/>
      </c>
    </row>
    <row r="1080" spans="6:7" x14ac:dyDescent="0.2">
      <c r="F1080" t="str">
        <f t="shared" si="32"/>
        <v/>
      </c>
      <c r="G1080" t="str">
        <f t="shared" si="33"/>
        <v/>
      </c>
    </row>
    <row r="1081" spans="6:7" x14ac:dyDescent="0.2">
      <c r="F1081" t="str">
        <f t="shared" si="32"/>
        <v/>
      </c>
      <c r="G1081" t="str">
        <f t="shared" si="33"/>
        <v/>
      </c>
    </row>
    <row r="1082" spans="6:7" x14ac:dyDescent="0.2">
      <c r="F1082" t="str">
        <f t="shared" si="32"/>
        <v/>
      </c>
      <c r="G1082" t="str">
        <f t="shared" si="33"/>
        <v/>
      </c>
    </row>
    <row r="1083" spans="6:7" x14ac:dyDescent="0.2">
      <c r="F1083" t="str">
        <f t="shared" si="32"/>
        <v/>
      </c>
      <c r="G1083" t="str">
        <f t="shared" si="33"/>
        <v/>
      </c>
    </row>
    <row r="1084" spans="6:7" x14ac:dyDescent="0.2">
      <c r="F1084" t="str">
        <f t="shared" si="32"/>
        <v/>
      </c>
      <c r="G1084" t="str">
        <f t="shared" si="33"/>
        <v/>
      </c>
    </row>
    <row r="1085" spans="6:7" x14ac:dyDescent="0.2">
      <c r="F1085" t="str">
        <f t="shared" si="32"/>
        <v/>
      </c>
      <c r="G1085" t="str">
        <f t="shared" si="33"/>
        <v/>
      </c>
    </row>
    <row r="1086" spans="6:7" x14ac:dyDescent="0.2">
      <c r="F1086" t="str">
        <f t="shared" si="32"/>
        <v/>
      </c>
      <c r="G1086" t="str">
        <f t="shared" si="33"/>
        <v/>
      </c>
    </row>
    <row r="1087" spans="6:7" x14ac:dyDescent="0.2">
      <c r="F1087" t="str">
        <f t="shared" si="32"/>
        <v/>
      </c>
      <c r="G1087" t="str">
        <f t="shared" si="33"/>
        <v/>
      </c>
    </row>
    <row r="1088" spans="6:7" x14ac:dyDescent="0.2">
      <c r="F1088" t="str">
        <f t="shared" si="32"/>
        <v/>
      </c>
      <c r="G1088" t="str">
        <f t="shared" si="33"/>
        <v/>
      </c>
    </row>
    <row r="1089" spans="6:7" x14ac:dyDescent="0.2">
      <c r="F1089" t="str">
        <f t="shared" si="32"/>
        <v/>
      </c>
      <c r="G1089" t="str">
        <f t="shared" si="33"/>
        <v/>
      </c>
    </row>
    <row r="1090" spans="6:7" x14ac:dyDescent="0.2">
      <c r="F1090" t="str">
        <f t="shared" ref="F1090:F1153" si="34">IF(OR(D1090="",E1090=""),"",E1090-D1090)</f>
        <v/>
      </c>
      <c r="G1090" t="str">
        <f t="shared" ref="G1090:G1153" si="35">IF(F1090="","",IF(F1090&gt;0,"ANO","NE"))</f>
        <v/>
      </c>
    </row>
    <row r="1091" spans="6:7" x14ac:dyDescent="0.2">
      <c r="F1091" t="str">
        <f t="shared" si="34"/>
        <v/>
      </c>
      <c r="G1091" t="str">
        <f t="shared" si="35"/>
        <v/>
      </c>
    </row>
    <row r="1092" spans="6:7" x14ac:dyDescent="0.2">
      <c r="F1092" t="str">
        <f t="shared" si="34"/>
        <v/>
      </c>
      <c r="G1092" t="str">
        <f t="shared" si="35"/>
        <v/>
      </c>
    </row>
    <row r="1093" spans="6:7" x14ac:dyDescent="0.2">
      <c r="F1093" t="str">
        <f t="shared" si="34"/>
        <v/>
      </c>
      <c r="G1093" t="str">
        <f t="shared" si="35"/>
        <v/>
      </c>
    </row>
    <row r="1094" spans="6:7" x14ac:dyDescent="0.2">
      <c r="F1094" t="str">
        <f t="shared" si="34"/>
        <v/>
      </c>
      <c r="G1094" t="str">
        <f t="shared" si="35"/>
        <v/>
      </c>
    </row>
    <row r="1095" spans="6:7" x14ac:dyDescent="0.2">
      <c r="F1095" t="str">
        <f t="shared" si="34"/>
        <v/>
      </c>
      <c r="G1095" t="str">
        <f t="shared" si="35"/>
        <v/>
      </c>
    </row>
    <row r="1096" spans="6:7" x14ac:dyDescent="0.2">
      <c r="F1096" t="str">
        <f t="shared" si="34"/>
        <v/>
      </c>
      <c r="G1096" t="str">
        <f t="shared" si="35"/>
        <v/>
      </c>
    </row>
    <row r="1097" spans="6:7" x14ac:dyDescent="0.2">
      <c r="F1097" t="str">
        <f t="shared" si="34"/>
        <v/>
      </c>
      <c r="G1097" t="str">
        <f t="shared" si="35"/>
        <v/>
      </c>
    </row>
    <row r="1098" spans="6:7" x14ac:dyDescent="0.2">
      <c r="F1098" t="str">
        <f t="shared" si="34"/>
        <v/>
      </c>
      <c r="G1098" t="str">
        <f t="shared" si="35"/>
        <v/>
      </c>
    </row>
    <row r="1099" spans="6:7" x14ac:dyDescent="0.2">
      <c r="F1099" t="str">
        <f t="shared" si="34"/>
        <v/>
      </c>
      <c r="G1099" t="str">
        <f t="shared" si="35"/>
        <v/>
      </c>
    </row>
    <row r="1100" spans="6:7" x14ac:dyDescent="0.2">
      <c r="F1100" t="str">
        <f t="shared" si="34"/>
        <v/>
      </c>
      <c r="G1100" t="str">
        <f t="shared" si="35"/>
        <v/>
      </c>
    </row>
    <row r="1101" spans="6:7" x14ac:dyDescent="0.2">
      <c r="F1101" t="str">
        <f t="shared" si="34"/>
        <v/>
      </c>
      <c r="G1101" t="str">
        <f t="shared" si="35"/>
        <v/>
      </c>
    </row>
    <row r="1102" spans="6:7" x14ac:dyDescent="0.2">
      <c r="F1102" t="str">
        <f t="shared" si="34"/>
        <v/>
      </c>
      <c r="G1102" t="str">
        <f t="shared" si="35"/>
        <v/>
      </c>
    </row>
    <row r="1103" spans="6:7" x14ac:dyDescent="0.2">
      <c r="F1103" t="str">
        <f t="shared" si="34"/>
        <v/>
      </c>
      <c r="G1103" t="str">
        <f t="shared" si="35"/>
        <v/>
      </c>
    </row>
    <row r="1104" spans="6:7" x14ac:dyDescent="0.2">
      <c r="F1104" t="str">
        <f t="shared" si="34"/>
        <v/>
      </c>
      <c r="G1104" t="str">
        <f t="shared" si="35"/>
        <v/>
      </c>
    </row>
    <row r="1105" spans="6:7" x14ac:dyDescent="0.2">
      <c r="F1105" t="str">
        <f t="shared" si="34"/>
        <v/>
      </c>
      <c r="G1105" t="str">
        <f t="shared" si="35"/>
        <v/>
      </c>
    </row>
    <row r="1106" spans="6:7" x14ac:dyDescent="0.2">
      <c r="F1106" t="str">
        <f t="shared" si="34"/>
        <v/>
      </c>
      <c r="G1106" t="str">
        <f t="shared" si="35"/>
        <v/>
      </c>
    </row>
    <row r="1107" spans="6:7" x14ac:dyDescent="0.2">
      <c r="F1107" t="str">
        <f t="shared" si="34"/>
        <v/>
      </c>
      <c r="G1107" t="str">
        <f t="shared" si="35"/>
        <v/>
      </c>
    </row>
    <row r="1108" spans="6:7" x14ac:dyDescent="0.2">
      <c r="F1108" t="str">
        <f t="shared" si="34"/>
        <v/>
      </c>
      <c r="G1108" t="str">
        <f t="shared" si="35"/>
        <v/>
      </c>
    </row>
    <row r="1109" spans="6:7" x14ac:dyDescent="0.2">
      <c r="F1109" t="str">
        <f t="shared" si="34"/>
        <v/>
      </c>
      <c r="G1109" t="str">
        <f t="shared" si="35"/>
        <v/>
      </c>
    </row>
    <row r="1110" spans="6:7" x14ac:dyDescent="0.2">
      <c r="F1110" t="str">
        <f t="shared" si="34"/>
        <v/>
      </c>
      <c r="G1110" t="str">
        <f t="shared" si="35"/>
        <v/>
      </c>
    </row>
    <row r="1111" spans="6:7" x14ac:dyDescent="0.2">
      <c r="F1111" t="str">
        <f t="shared" si="34"/>
        <v/>
      </c>
      <c r="G1111" t="str">
        <f t="shared" si="35"/>
        <v/>
      </c>
    </row>
    <row r="1112" spans="6:7" x14ac:dyDescent="0.2">
      <c r="F1112" t="str">
        <f t="shared" si="34"/>
        <v/>
      </c>
      <c r="G1112" t="str">
        <f t="shared" si="35"/>
        <v/>
      </c>
    </row>
    <row r="1113" spans="6:7" x14ac:dyDescent="0.2">
      <c r="F1113" t="str">
        <f t="shared" si="34"/>
        <v/>
      </c>
      <c r="G1113" t="str">
        <f t="shared" si="35"/>
        <v/>
      </c>
    </row>
    <row r="1114" spans="6:7" x14ac:dyDescent="0.2">
      <c r="F1114" t="str">
        <f t="shared" si="34"/>
        <v/>
      </c>
      <c r="G1114" t="str">
        <f t="shared" si="35"/>
        <v/>
      </c>
    </row>
    <row r="1115" spans="6:7" x14ac:dyDescent="0.2">
      <c r="F1115" t="str">
        <f t="shared" si="34"/>
        <v/>
      </c>
      <c r="G1115" t="str">
        <f t="shared" si="35"/>
        <v/>
      </c>
    </row>
    <row r="1116" spans="6:7" x14ac:dyDescent="0.2">
      <c r="F1116" t="str">
        <f t="shared" si="34"/>
        <v/>
      </c>
      <c r="G1116" t="str">
        <f t="shared" si="35"/>
        <v/>
      </c>
    </row>
    <row r="1117" spans="6:7" x14ac:dyDescent="0.2">
      <c r="F1117" t="str">
        <f t="shared" si="34"/>
        <v/>
      </c>
      <c r="G1117" t="str">
        <f t="shared" si="35"/>
        <v/>
      </c>
    </row>
    <row r="1118" spans="6:7" x14ac:dyDescent="0.2">
      <c r="F1118" t="str">
        <f t="shared" si="34"/>
        <v/>
      </c>
      <c r="G1118" t="str">
        <f t="shared" si="35"/>
        <v/>
      </c>
    </row>
    <row r="1119" spans="6:7" x14ac:dyDescent="0.2">
      <c r="F1119" t="str">
        <f t="shared" si="34"/>
        <v/>
      </c>
      <c r="G1119" t="str">
        <f t="shared" si="35"/>
        <v/>
      </c>
    </row>
    <row r="1120" spans="6:7" x14ac:dyDescent="0.2">
      <c r="F1120" t="str">
        <f t="shared" si="34"/>
        <v/>
      </c>
      <c r="G1120" t="str">
        <f t="shared" si="35"/>
        <v/>
      </c>
    </row>
    <row r="1121" spans="6:7" x14ac:dyDescent="0.2">
      <c r="F1121" t="str">
        <f t="shared" si="34"/>
        <v/>
      </c>
      <c r="G1121" t="str">
        <f t="shared" si="35"/>
        <v/>
      </c>
    </row>
    <row r="1122" spans="6:7" x14ac:dyDescent="0.2">
      <c r="F1122" t="str">
        <f t="shared" si="34"/>
        <v/>
      </c>
      <c r="G1122" t="str">
        <f t="shared" si="35"/>
        <v/>
      </c>
    </row>
    <row r="1123" spans="6:7" x14ac:dyDescent="0.2">
      <c r="F1123" t="str">
        <f t="shared" si="34"/>
        <v/>
      </c>
      <c r="G1123" t="str">
        <f t="shared" si="35"/>
        <v/>
      </c>
    </row>
    <row r="1124" spans="6:7" x14ac:dyDescent="0.2">
      <c r="F1124" t="str">
        <f t="shared" si="34"/>
        <v/>
      </c>
      <c r="G1124" t="str">
        <f t="shared" si="35"/>
        <v/>
      </c>
    </row>
    <row r="1125" spans="6:7" x14ac:dyDescent="0.2">
      <c r="F1125" t="str">
        <f t="shared" si="34"/>
        <v/>
      </c>
      <c r="G1125" t="str">
        <f t="shared" si="35"/>
        <v/>
      </c>
    </row>
    <row r="1126" spans="6:7" x14ac:dyDescent="0.2">
      <c r="F1126" t="str">
        <f t="shared" si="34"/>
        <v/>
      </c>
      <c r="G1126" t="str">
        <f t="shared" si="35"/>
        <v/>
      </c>
    </row>
    <row r="1127" spans="6:7" x14ac:dyDescent="0.2">
      <c r="F1127" t="str">
        <f t="shared" si="34"/>
        <v/>
      </c>
      <c r="G1127" t="str">
        <f t="shared" si="35"/>
        <v/>
      </c>
    </row>
    <row r="1128" spans="6:7" x14ac:dyDescent="0.2">
      <c r="F1128" t="str">
        <f t="shared" si="34"/>
        <v/>
      </c>
      <c r="G1128" t="str">
        <f t="shared" si="35"/>
        <v/>
      </c>
    </row>
    <row r="1129" spans="6:7" x14ac:dyDescent="0.2">
      <c r="F1129" t="str">
        <f t="shared" si="34"/>
        <v/>
      </c>
      <c r="G1129" t="str">
        <f t="shared" si="35"/>
        <v/>
      </c>
    </row>
    <row r="1130" spans="6:7" x14ac:dyDescent="0.2">
      <c r="F1130" t="str">
        <f t="shared" si="34"/>
        <v/>
      </c>
      <c r="G1130" t="str">
        <f t="shared" si="35"/>
        <v/>
      </c>
    </row>
    <row r="1131" spans="6:7" x14ac:dyDescent="0.2">
      <c r="F1131" t="str">
        <f t="shared" si="34"/>
        <v/>
      </c>
      <c r="G1131" t="str">
        <f t="shared" si="35"/>
        <v/>
      </c>
    </row>
    <row r="1132" spans="6:7" x14ac:dyDescent="0.2">
      <c r="F1132" t="str">
        <f t="shared" si="34"/>
        <v/>
      </c>
      <c r="G1132" t="str">
        <f t="shared" si="35"/>
        <v/>
      </c>
    </row>
    <row r="1133" spans="6:7" x14ac:dyDescent="0.2">
      <c r="F1133" t="str">
        <f t="shared" si="34"/>
        <v/>
      </c>
      <c r="G1133" t="str">
        <f t="shared" si="35"/>
        <v/>
      </c>
    </row>
    <row r="1134" spans="6:7" x14ac:dyDescent="0.2">
      <c r="F1134" t="str">
        <f t="shared" si="34"/>
        <v/>
      </c>
      <c r="G1134" t="str">
        <f t="shared" si="35"/>
        <v/>
      </c>
    </row>
    <row r="1135" spans="6:7" x14ac:dyDescent="0.2">
      <c r="F1135" t="str">
        <f t="shared" si="34"/>
        <v/>
      </c>
      <c r="G1135" t="str">
        <f t="shared" si="35"/>
        <v/>
      </c>
    </row>
    <row r="1136" spans="6:7" x14ac:dyDescent="0.2">
      <c r="F1136" t="str">
        <f t="shared" si="34"/>
        <v/>
      </c>
      <c r="G1136" t="str">
        <f t="shared" si="35"/>
        <v/>
      </c>
    </row>
    <row r="1137" spans="6:7" x14ac:dyDescent="0.2">
      <c r="F1137" t="str">
        <f t="shared" si="34"/>
        <v/>
      </c>
      <c r="G1137" t="str">
        <f t="shared" si="35"/>
        <v/>
      </c>
    </row>
    <row r="1138" spans="6:7" x14ac:dyDescent="0.2">
      <c r="F1138" t="str">
        <f t="shared" si="34"/>
        <v/>
      </c>
      <c r="G1138" t="str">
        <f t="shared" si="35"/>
        <v/>
      </c>
    </row>
    <row r="1139" spans="6:7" x14ac:dyDescent="0.2">
      <c r="F1139" t="str">
        <f t="shared" si="34"/>
        <v/>
      </c>
      <c r="G1139" t="str">
        <f t="shared" si="35"/>
        <v/>
      </c>
    </row>
    <row r="1140" spans="6:7" x14ac:dyDescent="0.2">
      <c r="F1140" t="str">
        <f t="shared" si="34"/>
        <v/>
      </c>
      <c r="G1140" t="str">
        <f t="shared" si="35"/>
        <v/>
      </c>
    </row>
    <row r="1141" spans="6:7" x14ac:dyDescent="0.2">
      <c r="F1141" t="str">
        <f t="shared" si="34"/>
        <v/>
      </c>
      <c r="G1141" t="str">
        <f t="shared" si="35"/>
        <v/>
      </c>
    </row>
    <row r="1142" spans="6:7" x14ac:dyDescent="0.2">
      <c r="F1142" t="str">
        <f t="shared" si="34"/>
        <v/>
      </c>
      <c r="G1142" t="str">
        <f t="shared" si="35"/>
        <v/>
      </c>
    </row>
    <row r="1143" spans="6:7" x14ac:dyDescent="0.2">
      <c r="F1143" t="str">
        <f t="shared" si="34"/>
        <v/>
      </c>
      <c r="G1143" t="str">
        <f t="shared" si="35"/>
        <v/>
      </c>
    </row>
    <row r="1144" spans="6:7" x14ac:dyDescent="0.2">
      <c r="F1144" t="str">
        <f t="shared" si="34"/>
        <v/>
      </c>
      <c r="G1144" t="str">
        <f t="shared" si="35"/>
        <v/>
      </c>
    </row>
    <row r="1145" spans="6:7" x14ac:dyDescent="0.2">
      <c r="F1145" t="str">
        <f t="shared" si="34"/>
        <v/>
      </c>
      <c r="G1145" t="str">
        <f t="shared" si="35"/>
        <v/>
      </c>
    </row>
    <row r="1146" spans="6:7" x14ac:dyDescent="0.2">
      <c r="F1146" t="str">
        <f t="shared" si="34"/>
        <v/>
      </c>
      <c r="G1146" t="str">
        <f t="shared" si="35"/>
        <v/>
      </c>
    </row>
    <row r="1147" spans="6:7" x14ac:dyDescent="0.2">
      <c r="F1147" t="str">
        <f t="shared" si="34"/>
        <v/>
      </c>
      <c r="G1147" t="str">
        <f t="shared" si="35"/>
        <v/>
      </c>
    </row>
    <row r="1148" spans="6:7" x14ac:dyDescent="0.2">
      <c r="F1148" t="str">
        <f t="shared" si="34"/>
        <v/>
      </c>
      <c r="G1148" t="str">
        <f t="shared" si="35"/>
        <v/>
      </c>
    </row>
    <row r="1149" spans="6:7" x14ac:dyDescent="0.2">
      <c r="F1149" t="str">
        <f t="shared" si="34"/>
        <v/>
      </c>
      <c r="G1149" t="str">
        <f t="shared" si="35"/>
        <v/>
      </c>
    </row>
    <row r="1150" spans="6:7" x14ac:dyDescent="0.2">
      <c r="F1150" t="str">
        <f t="shared" si="34"/>
        <v/>
      </c>
      <c r="G1150" t="str">
        <f t="shared" si="35"/>
        <v/>
      </c>
    </row>
    <row r="1151" spans="6:7" x14ac:dyDescent="0.2">
      <c r="F1151" t="str">
        <f t="shared" si="34"/>
        <v/>
      </c>
      <c r="G1151" t="str">
        <f t="shared" si="35"/>
        <v/>
      </c>
    </row>
    <row r="1152" spans="6:7" x14ac:dyDescent="0.2">
      <c r="F1152" t="str">
        <f t="shared" si="34"/>
        <v/>
      </c>
      <c r="G1152" t="str">
        <f t="shared" si="35"/>
        <v/>
      </c>
    </row>
    <row r="1153" spans="6:7" x14ac:dyDescent="0.2">
      <c r="F1153" t="str">
        <f t="shared" si="34"/>
        <v/>
      </c>
      <c r="G1153" t="str">
        <f t="shared" si="35"/>
        <v/>
      </c>
    </row>
    <row r="1154" spans="6:7" x14ac:dyDescent="0.2">
      <c r="F1154" t="str">
        <f t="shared" ref="F1154:F1217" si="36">IF(OR(D1154="",E1154=""),"",E1154-D1154)</f>
        <v/>
      </c>
      <c r="G1154" t="str">
        <f t="shared" ref="G1154:G1217" si="37">IF(F1154="","",IF(F1154&gt;0,"ANO","NE"))</f>
        <v/>
      </c>
    </row>
    <row r="1155" spans="6:7" x14ac:dyDescent="0.2">
      <c r="F1155" t="str">
        <f t="shared" si="36"/>
        <v/>
      </c>
      <c r="G1155" t="str">
        <f t="shared" si="37"/>
        <v/>
      </c>
    </row>
    <row r="1156" spans="6:7" x14ac:dyDescent="0.2">
      <c r="F1156" t="str">
        <f t="shared" si="36"/>
        <v/>
      </c>
      <c r="G1156" t="str">
        <f t="shared" si="37"/>
        <v/>
      </c>
    </row>
    <row r="1157" spans="6:7" x14ac:dyDescent="0.2">
      <c r="F1157" t="str">
        <f t="shared" si="36"/>
        <v/>
      </c>
      <c r="G1157" t="str">
        <f t="shared" si="37"/>
        <v/>
      </c>
    </row>
    <row r="1158" spans="6:7" x14ac:dyDescent="0.2">
      <c r="F1158" t="str">
        <f t="shared" si="36"/>
        <v/>
      </c>
      <c r="G1158" t="str">
        <f t="shared" si="37"/>
        <v/>
      </c>
    </row>
    <row r="1159" spans="6:7" x14ac:dyDescent="0.2">
      <c r="F1159" t="str">
        <f t="shared" si="36"/>
        <v/>
      </c>
      <c r="G1159" t="str">
        <f t="shared" si="37"/>
        <v/>
      </c>
    </row>
    <row r="1160" spans="6:7" x14ac:dyDescent="0.2">
      <c r="F1160" t="str">
        <f t="shared" si="36"/>
        <v/>
      </c>
      <c r="G1160" t="str">
        <f t="shared" si="37"/>
        <v/>
      </c>
    </row>
    <row r="1161" spans="6:7" x14ac:dyDescent="0.2">
      <c r="F1161" t="str">
        <f t="shared" si="36"/>
        <v/>
      </c>
      <c r="G1161" t="str">
        <f t="shared" si="37"/>
        <v/>
      </c>
    </row>
    <row r="1162" spans="6:7" x14ac:dyDescent="0.2">
      <c r="F1162" t="str">
        <f t="shared" si="36"/>
        <v/>
      </c>
      <c r="G1162" t="str">
        <f t="shared" si="37"/>
        <v/>
      </c>
    </row>
    <row r="1163" spans="6:7" x14ac:dyDescent="0.2">
      <c r="F1163" t="str">
        <f t="shared" si="36"/>
        <v/>
      </c>
      <c r="G1163" t="str">
        <f t="shared" si="37"/>
        <v/>
      </c>
    </row>
    <row r="1164" spans="6:7" x14ac:dyDescent="0.2">
      <c r="F1164" t="str">
        <f t="shared" si="36"/>
        <v/>
      </c>
      <c r="G1164" t="str">
        <f t="shared" si="37"/>
        <v/>
      </c>
    </row>
    <row r="1165" spans="6:7" x14ac:dyDescent="0.2">
      <c r="F1165" t="str">
        <f t="shared" si="36"/>
        <v/>
      </c>
      <c r="G1165" t="str">
        <f t="shared" si="37"/>
        <v/>
      </c>
    </row>
    <row r="1166" spans="6:7" x14ac:dyDescent="0.2">
      <c r="F1166" t="str">
        <f t="shared" si="36"/>
        <v/>
      </c>
      <c r="G1166" t="str">
        <f t="shared" si="37"/>
        <v/>
      </c>
    </row>
    <row r="1167" spans="6:7" x14ac:dyDescent="0.2">
      <c r="F1167" t="str">
        <f t="shared" si="36"/>
        <v/>
      </c>
      <c r="G1167" t="str">
        <f t="shared" si="37"/>
        <v/>
      </c>
    </row>
    <row r="1168" spans="6:7" x14ac:dyDescent="0.2">
      <c r="F1168" t="str">
        <f t="shared" si="36"/>
        <v/>
      </c>
      <c r="G1168" t="str">
        <f t="shared" si="37"/>
        <v/>
      </c>
    </row>
    <row r="1169" spans="6:7" x14ac:dyDescent="0.2">
      <c r="F1169" t="str">
        <f t="shared" si="36"/>
        <v/>
      </c>
      <c r="G1169" t="str">
        <f t="shared" si="37"/>
        <v/>
      </c>
    </row>
    <row r="1170" spans="6:7" x14ac:dyDescent="0.2">
      <c r="F1170" t="str">
        <f t="shared" si="36"/>
        <v/>
      </c>
      <c r="G1170" t="str">
        <f t="shared" si="37"/>
        <v/>
      </c>
    </row>
    <row r="1171" spans="6:7" x14ac:dyDescent="0.2">
      <c r="F1171" t="str">
        <f t="shared" si="36"/>
        <v/>
      </c>
      <c r="G1171" t="str">
        <f t="shared" si="37"/>
        <v/>
      </c>
    </row>
    <row r="1172" spans="6:7" x14ac:dyDescent="0.2">
      <c r="F1172" t="str">
        <f t="shared" si="36"/>
        <v/>
      </c>
      <c r="G1172" t="str">
        <f t="shared" si="37"/>
        <v/>
      </c>
    </row>
    <row r="1173" spans="6:7" x14ac:dyDescent="0.2">
      <c r="F1173" t="str">
        <f t="shared" si="36"/>
        <v/>
      </c>
      <c r="G1173" t="str">
        <f t="shared" si="37"/>
        <v/>
      </c>
    </row>
    <row r="1174" spans="6:7" x14ac:dyDescent="0.2">
      <c r="F1174" t="str">
        <f t="shared" si="36"/>
        <v/>
      </c>
      <c r="G1174" t="str">
        <f t="shared" si="37"/>
        <v/>
      </c>
    </row>
    <row r="1175" spans="6:7" x14ac:dyDescent="0.2">
      <c r="F1175" t="str">
        <f t="shared" si="36"/>
        <v/>
      </c>
      <c r="G1175" t="str">
        <f t="shared" si="37"/>
        <v/>
      </c>
    </row>
    <row r="1176" spans="6:7" x14ac:dyDescent="0.2">
      <c r="F1176" t="str">
        <f t="shared" si="36"/>
        <v/>
      </c>
      <c r="G1176" t="str">
        <f t="shared" si="37"/>
        <v/>
      </c>
    </row>
    <row r="1177" spans="6:7" x14ac:dyDescent="0.2">
      <c r="F1177" t="str">
        <f t="shared" si="36"/>
        <v/>
      </c>
      <c r="G1177" t="str">
        <f t="shared" si="37"/>
        <v/>
      </c>
    </row>
    <row r="1178" spans="6:7" x14ac:dyDescent="0.2">
      <c r="F1178" t="str">
        <f t="shared" si="36"/>
        <v/>
      </c>
      <c r="G1178" t="str">
        <f t="shared" si="37"/>
        <v/>
      </c>
    </row>
    <row r="1179" spans="6:7" x14ac:dyDescent="0.2">
      <c r="F1179" t="str">
        <f t="shared" si="36"/>
        <v/>
      </c>
      <c r="G1179" t="str">
        <f t="shared" si="37"/>
        <v/>
      </c>
    </row>
    <row r="1180" spans="6:7" x14ac:dyDescent="0.2">
      <c r="F1180" t="str">
        <f t="shared" si="36"/>
        <v/>
      </c>
      <c r="G1180" t="str">
        <f t="shared" si="37"/>
        <v/>
      </c>
    </row>
    <row r="1181" spans="6:7" x14ac:dyDescent="0.2">
      <c r="F1181" t="str">
        <f t="shared" si="36"/>
        <v/>
      </c>
      <c r="G1181" t="str">
        <f t="shared" si="37"/>
        <v/>
      </c>
    </row>
    <row r="1182" spans="6:7" x14ac:dyDescent="0.2">
      <c r="F1182" t="str">
        <f t="shared" si="36"/>
        <v/>
      </c>
      <c r="G1182" t="str">
        <f t="shared" si="37"/>
        <v/>
      </c>
    </row>
    <row r="1183" spans="6:7" x14ac:dyDescent="0.2">
      <c r="F1183" t="str">
        <f t="shared" si="36"/>
        <v/>
      </c>
      <c r="G1183" t="str">
        <f t="shared" si="37"/>
        <v/>
      </c>
    </row>
    <row r="1184" spans="6:7" x14ac:dyDescent="0.2">
      <c r="F1184" t="str">
        <f t="shared" si="36"/>
        <v/>
      </c>
      <c r="G1184" t="str">
        <f t="shared" si="37"/>
        <v/>
      </c>
    </row>
    <row r="1185" spans="6:7" x14ac:dyDescent="0.2">
      <c r="F1185" t="str">
        <f t="shared" si="36"/>
        <v/>
      </c>
      <c r="G1185" t="str">
        <f t="shared" si="37"/>
        <v/>
      </c>
    </row>
    <row r="1186" spans="6:7" x14ac:dyDescent="0.2">
      <c r="F1186" t="str">
        <f t="shared" si="36"/>
        <v/>
      </c>
      <c r="G1186" t="str">
        <f t="shared" si="37"/>
        <v/>
      </c>
    </row>
    <row r="1187" spans="6:7" x14ac:dyDescent="0.2">
      <c r="F1187" t="str">
        <f t="shared" si="36"/>
        <v/>
      </c>
      <c r="G1187" t="str">
        <f t="shared" si="37"/>
        <v/>
      </c>
    </row>
    <row r="1188" spans="6:7" x14ac:dyDescent="0.2">
      <c r="F1188" t="str">
        <f t="shared" si="36"/>
        <v/>
      </c>
      <c r="G1188" t="str">
        <f t="shared" si="37"/>
        <v/>
      </c>
    </row>
    <row r="1189" spans="6:7" x14ac:dyDescent="0.2">
      <c r="F1189" t="str">
        <f t="shared" si="36"/>
        <v/>
      </c>
      <c r="G1189" t="str">
        <f t="shared" si="37"/>
        <v/>
      </c>
    </row>
    <row r="1190" spans="6:7" x14ac:dyDescent="0.2">
      <c r="F1190" t="str">
        <f t="shared" si="36"/>
        <v/>
      </c>
      <c r="G1190" t="str">
        <f t="shared" si="37"/>
        <v/>
      </c>
    </row>
    <row r="1191" spans="6:7" x14ac:dyDescent="0.2">
      <c r="F1191" t="str">
        <f t="shared" si="36"/>
        <v/>
      </c>
      <c r="G1191" t="str">
        <f t="shared" si="37"/>
        <v/>
      </c>
    </row>
    <row r="1192" spans="6:7" x14ac:dyDescent="0.2">
      <c r="F1192" t="str">
        <f t="shared" si="36"/>
        <v/>
      </c>
      <c r="G1192" t="str">
        <f t="shared" si="37"/>
        <v/>
      </c>
    </row>
    <row r="1193" spans="6:7" x14ac:dyDescent="0.2">
      <c r="F1193" t="str">
        <f t="shared" si="36"/>
        <v/>
      </c>
      <c r="G1193" t="str">
        <f t="shared" si="37"/>
        <v/>
      </c>
    </row>
    <row r="1194" spans="6:7" x14ac:dyDescent="0.2">
      <c r="F1194" t="str">
        <f t="shared" si="36"/>
        <v/>
      </c>
      <c r="G1194" t="str">
        <f t="shared" si="37"/>
        <v/>
      </c>
    </row>
    <row r="1195" spans="6:7" x14ac:dyDescent="0.2">
      <c r="F1195" t="str">
        <f t="shared" si="36"/>
        <v/>
      </c>
      <c r="G1195" t="str">
        <f t="shared" si="37"/>
        <v/>
      </c>
    </row>
    <row r="1196" spans="6:7" x14ac:dyDescent="0.2">
      <c r="F1196" t="str">
        <f t="shared" si="36"/>
        <v/>
      </c>
      <c r="G1196" t="str">
        <f t="shared" si="37"/>
        <v/>
      </c>
    </row>
    <row r="1197" spans="6:7" x14ac:dyDescent="0.2">
      <c r="F1197" t="str">
        <f t="shared" si="36"/>
        <v/>
      </c>
      <c r="G1197" t="str">
        <f t="shared" si="37"/>
        <v/>
      </c>
    </row>
    <row r="1198" spans="6:7" x14ac:dyDescent="0.2">
      <c r="F1198" t="str">
        <f t="shared" si="36"/>
        <v/>
      </c>
      <c r="G1198" t="str">
        <f t="shared" si="37"/>
        <v/>
      </c>
    </row>
    <row r="1199" spans="6:7" x14ac:dyDescent="0.2">
      <c r="F1199" t="str">
        <f t="shared" si="36"/>
        <v/>
      </c>
      <c r="G1199" t="str">
        <f t="shared" si="37"/>
        <v/>
      </c>
    </row>
    <row r="1200" spans="6:7" x14ac:dyDescent="0.2">
      <c r="F1200" t="str">
        <f t="shared" si="36"/>
        <v/>
      </c>
      <c r="G1200" t="str">
        <f t="shared" si="37"/>
        <v/>
      </c>
    </row>
    <row r="1201" spans="6:7" x14ac:dyDescent="0.2">
      <c r="F1201" t="str">
        <f t="shared" si="36"/>
        <v/>
      </c>
      <c r="G1201" t="str">
        <f t="shared" si="37"/>
        <v/>
      </c>
    </row>
    <row r="1202" spans="6:7" x14ac:dyDescent="0.2">
      <c r="F1202" t="str">
        <f t="shared" si="36"/>
        <v/>
      </c>
      <c r="G1202" t="str">
        <f t="shared" si="37"/>
        <v/>
      </c>
    </row>
    <row r="1203" spans="6:7" x14ac:dyDescent="0.2">
      <c r="F1203" t="str">
        <f t="shared" si="36"/>
        <v/>
      </c>
      <c r="G1203" t="str">
        <f t="shared" si="37"/>
        <v/>
      </c>
    </row>
    <row r="1204" spans="6:7" x14ac:dyDescent="0.2">
      <c r="F1204" t="str">
        <f t="shared" si="36"/>
        <v/>
      </c>
      <c r="G1204" t="str">
        <f t="shared" si="37"/>
        <v/>
      </c>
    </row>
    <row r="1205" spans="6:7" x14ac:dyDescent="0.2">
      <c r="F1205" t="str">
        <f t="shared" si="36"/>
        <v/>
      </c>
      <c r="G1205" t="str">
        <f t="shared" si="37"/>
        <v/>
      </c>
    </row>
    <row r="1206" spans="6:7" x14ac:dyDescent="0.2">
      <c r="F1206" t="str">
        <f t="shared" si="36"/>
        <v/>
      </c>
      <c r="G1206" t="str">
        <f t="shared" si="37"/>
        <v/>
      </c>
    </row>
    <row r="1207" spans="6:7" x14ac:dyDescent="0.2">
      <c r="F1207" t="str">
        <f t="shared" si="36"/>
        <v/>
      </c>
      <c r="G1207" t="str">
        <f t="shared" si="37"/>
        <v/>
      </c>
    </row>
    <row r="1208" spans="6:7" x14ac:dyDescent="0.2">
      <c r="F1208" t="str">
        <f t="shared" si="36"/>
        <v/>
      </c>
      <c r="G1208" t="str">
        <f t="shared" si="37"/>
        <v/>
      </c>
    </row>
    <row r="1209" spans="6:7" x14ac:dyDescent="0.2">
      <c r="F1209" t="str">
        <f t="shared" si="36"/>
        <v/>
      </c>
      <c r="G1209" t="str">
        <f t="shared" si="37"/>
        <v/>
      </c>
    </row>
    <row r="1210" spans="6:7" x14ac:dyDescent="0.2">
      <c r="F1210" t="str">
        <f t="shared" si="36"/>
        <v/>
      </c>
      <c r="G1210" t="str">
        <f t="shared" si="37"/>
        <v/>
      </c>
    </row>
    <row r="1211" spans="6:7" x14ac:dyDescent="0.2">
      <c r="F1211" t="str">
        <f t="shared" si="36"/>
        <v/>
      </c>
      <c r="G1211" t="str">
        <f t="shared" si="37"/>
        <v/>
      </c>
    </row>
    <row r="1212" spans="6:7" x14ac:dyDescent="0.2">
      <c r="F1212" t="str">
        <f t="shared" si="36"/>
        <v/>
      </c>
      <c r="G1212" t="str">
        <f t="shared" si="37"/>
        <v/>
      </c>
    </row>
    <row r="1213" spans="6:7" x14ac:dyDescent="0.2">
      <c r="F1213" t="str">
        <f t="shared" si="36"/>
        <v/>
      </c>
      <c r="G1213" t="str">
        <f t="shared" si="37"/>
        <v/>
      </c>
    </row>
    <row r="1214" spans="6:7" x14ac:dyDescent="0.2">
      <c r="F1214" t="str">
        <f t="shared" si="36"/>
        <v/>
      </c>
      <c r="G1214" t="str">
        <f t="shared" si="37"/>
        <v/>
      </c>
    </row>
    <row r="1215" spans="6:7" x14ac:dyDescent="0.2">
      <c r="F1215" t="str">
        <f t="shared" si="36"/>
        <v/>
      </c>
      <c r="G1215" t="str">
        <f t="shared" si="37"/>
        <v/>
      </c>
    </row>
    <row r="1216" spans="6:7" x14ac:dyDescent="0.2">
      <c r="F1216" t="str">
        <f t="shared" si="36"/>
        <v/>
      </c>
      <c r="G1216" t="str">
        <f t="shared" si="37"/>
        <v/>
      </c>
    </row>
    <row r="1217" spans="6:7" x14ac:dyDescent="0.2">
      <c r="F1217" t="str">
        <f t="shared" si="36"/>
        <v/>
      </c>
      <c r="G1217" t="str">
        <f t="shared" si="37"/>
        <v/>
      </c>
    </row>
    <row r="1218" spans="6:7" x14ac:dyDescent="0.2">
      <c r="F1218" t="str">
        <f t="shared" ref="F1218:F1281" si="38">IF(OR(D1218="",E1218=""),"",E1218-D1218)</f>
        <v/>
      </c>
      <c r="G1218" t="str">
        <f t="shared" ref="G1218:G1281" si="39">IF(F1218="","",IF(F1218&gt;0,"ANO","NE"))</f>
        <v/>
      </c>
    </row>
    <row r="1219" spans="6:7" x14ac:dyDescent="0.2">
      <c r="F1219" t="str">
        <f t="shared" si="38"/>
        <v/>
      </c>
      <c r="G1219" t="str">
        <f t="shared" si="39"/>
        <v/>
      </c>
    </row>
    <row r="1220" spans="6:7" x14ac:dyDescent="0.2">
      <c r="F1220" t="str">
        <f t="shared" si="38"/>
        <v/>
      </c>
      <c r="G1220" t="str">
        <f t="shared" si="39"/>
        <v/>
      </c>
    </row>
    <row r="1221" spans="6:7" x14ac:dyDescent="0.2">
      <c r="F1221" t="str">
        <f t="shared" si="38"/>
        <v/>
      </c>
      <c r="G1221" t="str">
        <f t="shared" si="39"/>
        <v/>
      </c>
    </row>
    <row r="1222" spans="6:7" x14ac:dyDescent="0.2">
      <c r="F1222" t="str">
        <f t="shared" si="38"/>
        <v/>
      </c>
      <c r="G1222" t="str">
        <f t="shared" si="39"/>
        <v/>
      </c>
    </row>
    <row r="1223" spans="6:7" x14ac:dyDescent="0.2">
      <c r="F1223" t="str">
        <f t="shared" si="38"/>
        <v/>
      </c>
      <c r="G1223" t="str">
        <f t="shared" si="39"/>
        <v/>
      </c>
    </row>
    <row r="1224" spans="6:7" x14ac:dyDescent="0.2">
      <c r="F1224" t="str">
        <f t="shared" si="38"/>
        <v/>
      </c>
      <c r="G1224" t="str">
        <f t="shared" si="39"/>
        <v/>
      </c>
    </row>
    <row r="1225" spans="6:7" x14ac:dyDescent="0.2">
      <c r="F1225" t="str">
        <f t="shared" si="38"/>
        <v/>
      </c>
      <c r="G1225" t="str">
        <f t="shared" si="39"/>
        <v/>
      </c>
    </row>
    <row r="1226" spans="6:7" x14ac:dyDescent="0.2">
      <c r="F1226" t="str">
        <f t="shared" si="38"/>
        <v/>
      </c>
      <c r="G1226" t="str">
        <f t="shared" si="39"/>
        <v/>
      </c>
    </row>
    <row r="1227" spans="6:7" x14ac:dyDescent="0.2">
      <c r="F1227" t="str">
        <f t="shared" si="38"/>
        <v/>
      </c>
      <c r="G1227" t="str">
        <f t="shared" si="39"/>
        <v/>
      </c>
    </row>
    <row r="1228" spans="6:7" x14ac:dyDescent="0.2">
      <c r="F1228" t="str">
        <f t="shared" si="38"/>
        <v/>
      </c>
      <c r="G1228" t="str">
        <f t="shared" si="39"/>
        <v/>
      </c>
    </row>
    <row r="1229" spans="6:7" x14ac:dyDescent="0.2">
      <c r="F1229" t="str">
        <f t="shared" si="38"/>
        <v/>
      </c>
      <c r="G1229" t="str">
        <f t="shared" si="39"/>
        <v/>
      </c>
    </row>
    <row r="1230" spans="6:7" x14ac:dyDescent="0.2">
      <c r="F1230" t="str">
        <f t="shared" si="38"/>
        <v/>
      </c>
      <c r="G1230" t="str">
        <f t="shared" si="39"/>
        <v/>
      </c>
    </row>
    <row r="1231" spans="6:7" x14ac:dyDescent="0.2">
      <c r="F1231" t="str">
        <f t="shared" si="38"/>
        <v/>
      </c>
      <c r="G1231" t="str">
        <f t="shared" si="39"/>
        <v/>
      </c>
    </row>
    <row r="1232" spans="6:7" x14ac:dyDescent="0.2">
      <c r="F1232" t="str">
        <f t="shared" si="38"/>
        <v/>
      </c>
      <c r="G1232" t="str">
        <f t="shared" si="39"/>
        <v/>
      </c>
    </row>
    <row r="1233" spans="6:7" x14ac:dyDescent="0.2">
      <c r="F1233" t="str">
        <f t="shared" si="38"/>
        <v/>
      </c>
      <c r="G1233" t="str">
        <f t="shared" si="39"/>
        <v/>
      </c>
    </row>
    <row r="1234" spans="6:7" x14ac:dyDescent="0.2">
      <c r="F1234" t="str">
        <f t="shared" si="38"/>
        <v/>
      </c>
      <c r="G1234" t="str">
        <f t="shared" si="39"/>
        <v/>
      </c>
    </row>
    <row r="1235" spans="6:7" x14ac:dyDescent="0.2">
      <c r="F1235" t="str">
        <f t="shared" si="38"/>
        <v/>
      </c>
      <c r="G1235" t="str">
        <f t="shared" si="39"/>
        <v/>
      </c>
    </row>
    <row r="1236" spans="6:7" x14ac:dyDescent="0.2">
      <c r="F1236" t="str">
        <f t="shared" si="38"/>
        <v/>
      </c>
      <c r="G1236" t="str">
        <f t="shared" si="39"/>
        <v/>
      </c>
    </row>
    <row r="1237" spans="6:7" x14ac:dyDescent="0.2">
      <c r="F1237" t="str">
        <f t="shared" si="38"/>
        <v/>
      </c>
      <c r="G1237" t="str">
        <f t="shared" si="39"/>
        <v/>
      </c>
    </row>
    <row r="1238" spans="6:7" x14ac:dyDescent="0.2">
      <c r="F1238" t="str">
        <f t="shared" si="38"/>
        <v/>
      </c>
      <c r="G1238" t="str">
        <f t="shared" si="39"/>
        <v/>
      </c>
    </row>
    <row r="1239" spans="6:7" x14ac:dyDescent="0.2">
      <c r="F1239" t="str">
        <f t="shared" si="38"/>
        <v/>
      </c>
      <c r="G1239" t="str">
        <f t="shared" si="39"/>
        <v/>
      </c>
    </row>
    <row r="1240" spans="6:7" x14ac:dyDescent="0.2">
      <c r="F1240" t="str">
        <f t="shared" si="38"/>
        <v/>
      </c>
      <c r="G1240" t="str">
        <f t="shared" si="39"/>
        <v/>
      </c>
    </row>
    <row r="1241" spans="6:7" x14ac:dyDescent="0.2">
      <c r="F1241" t="str">
        <f t="shared" si="38"/>
        <v/>
      </c>
      <c r="G1241" t="str">
        <f t="shared" si="39"/>
        <v/>
      </c>
    </row>
    <row r="1242" spans="6:7" x14ac:dyDescent="0.2">
      <c r="F1242" t="str">
        <f t="shared" si="38"/>
        <v/>
      </c>
      <c r="G1242" t="str">
        <f t="shared" si="39"/>
        <v/>
      </c>
    </row>
    <row r="1243" spans="6:7" x14ac:dyDescent="0.2">
      <c r="F1243" t="str">
        <f t="shared" si="38"/>
        <v/>
      </c>
      <c r="G1243" t="str">
        <f t="shared" si="39"/>
        <v/>
      </c>
    </row>
    <row r="1244" spans="6:7" x14ac:dyDescent="0.2">
      <c r="F1244" t="str">
        <f t="shared" si="38"/>
        <v/>
      </c>
      <c r="G1244" t="str">
        <f t="shared" si="39"/>
        <v/>
      </c>
    </row>
    <row r="1245" spans="6:7" x14ac:dyDescent="0.2">
      <c r="F1245" t="str">
        <f t="shared" si="38"/>
        <v/>
      </c>
      <c r="G1245" t="str">
        <f t="shared" si="39"/>
        <v/>
      </c>
    </row>
    <row r="1246" spans="6:7" x14ac:dyDescent="0.2">
      <c r="F1246" t="str">
        <f t="shared" si="38"/>
        <v/>
      </c>
      <c r="G1246" t="str">
        <f t="shared" si="39"/>
        <v/>
      </c>
    </row>
    <row r="1247" spans="6:7" x14ac:dyDescent="0.2">
      <c r="F1247" t="str">
        <f t="shared" si="38"/>
        <v/>
      </c>
      <c r="G1247" t="str">
        <f t="shared" si="39"/>
        <v/>
      </c>
    </row>
    <row r="1248" spans="6:7" x14ac:dyDescent="0.2">
      <c r="F1248" t="str">
        <f t="shared" si="38"/>
        <v/>
      </c>
      <c r="G1248" t="str">
        <f t="shared" si="39"/>
        <v/>
      </c>
    </row>
    <row r="1249" spans="6:7" x14ac:dyDescent="0.2">
      <c r="F1249" t="str">
        <f t="shared" si="38"/>
        <v/>
      </c>
      <c r="G1249" t="str">
        <f t="shared" si="39"/>
        <v/>
      </c>
    </row>
    <row r="1250" spans="6:7" x14ac:dyDescent="0.2">
      <c r="F1250" t="str">
        <f t="shared" si="38"/>
        <v/>
      </c>
      <c r="G1250" t="str">
        <f t="shared" si="39"/>
        <v/>
      </c>
    </row>
    <row r="1251" spans="6:7" x14ac:dyDescent="0.2">
      <c r="F1251" t="str">
        <f t="shared" si="38"/>
        <v/>
      </c>
      <c r="G1251" t="str">
        <f t="shared" si="39"/>
        <v/>
      </c>
    </row>
    <row r="1252" spans="6:7" x14ac:dyDescent="0.2">
      <c r="F1252" t="str">
        <f t="shared" si="38"/>
        <v/>
      </c>
      <c r="G1252" t="str">
        <f t="shared" si="39"/>
        <v/>
      </c>
    </row>
    <row r="1253" spans="6:7" x14ac:dyDescent="0.2">
      <c r="F1253" t="str">
        <f t="shared" si="38"/>
        <v/>
      </c>
      <c r="G1253" t="str">
        <f t="shared" si="39"/>
        <v/>
      </c>
    </row>
    <row r="1254" spans="6:7" x14ac:dyDescent="0.2">
      <c r="F1254" t="str">
        <f t="shared" si="38"/>
        <v/>
      </c>
      <c r="G1254" t="str">
        <f t="shared" si="39"/>
        <v/>
      </c>
    </row>
    <row r="1255" spans="6:7" x14ac:dyDescent="0.2">
      <c r="F1255" t="str">
        <f t="shared" si="38"/>
        <v/>
      </c>
      <c r="G1255" t="str">
        <f t="shared" si="39"/>
        <v/>
      </c>
    </row>
    <row r="1256" spans="6:7" x14ac:dyDescent="0.2">
      <c r="F1256" t="str">
        <f t="shared" si="38"/>
        <v/>
      </c>
      <c r="G1256" t="str">
        <f t="shared" si="39"/>
        <v/>
      </c>
    </row>
    <row r="1257" spans="6:7" x14ac:dyDescent="0.2">
      <c r="F1257" t="str">
        <f t="shared" si="38"/>
        <v/>
      </c>
      <c r="G1257" t="str">
        <f t="shared" si="39"/>
        <v/>
      </c>
    </row>
    <row r="1258" spans="6:7" x14ac:dyDescent="0.2">
      <c r="F1258" t="str">
        <f t="shared" si="38"/>
        <v/>
      </c>
      <c r="G1258" t="str">
        <f t="shared" si="39"/>
        <v/>
      </c>
    </row>
    <row r="1259" spans="6:7" x14ac:dyDescent="0.2">
      <c r="F1259" t="str">
        <f t="shared" si="38"/>
        <v/>
      </c>
      <c r="G1259" t="str">
        <f t="shared" si="39"/>
        <v/>
      </c>
    </row>
    <row r="1260" spans="6:7" x14ac:dyDescent="0.2">
      <c r="F1260" t="str">
        <f t="shared" si="38"/>
        <v/>
      </c>
      <c r="G1260" t="str">
        <f t="shared" si="39"/>
        <v/>
      </c>
    </row>
    <row r="1261" spans="6:7" x14ac:dyDescent="0.2">
      <c r="F1261" t="str">
        <f t="shared" si="38"/>
        <v/>
      </c>
      <c r="G1261" t="str">
        <f t="shared" si="39"/>
        <v/>
      </c>
    </row>
    <row r="1262" spans="6:7" x14ac:dyDescent="0.2">
      <c r="F1262" t="str">
        <f t="shared" si="38"/>
        <v/>
      </c>
      <c r="G1262" t="str">
        <f t="shared" si="39"/>
        <v/>
      </c>
    </row>
    <row r="1263" spans="6:7" x14ac:dyDescent="0.2">
      <c r="F1263" t="str">
        <f t="shared" si="38"/>
        <v/>
      </c>
      <c r="G1263" t="str">
        <f t="shared" si="39"/>
        <v/>
      </c>
    </row>
    <row r="1264" spans="6:7" x14ac:dyDescent="0.2">
      <c r="F1264" t="str">
        <f t="shared" si="38"/>
        <v/>
      </c>
      <c r="G1264" t="str">
        <f t="shared" si="39"/>
        <v/>
      </c>
    </row>
    <row r="1265" spans="6:7" x14ac:dyDescent="0.2">
      <c r="F1265" t="str">
        <f t="shared" si="38"/>
        <v/>
      </c>
      <c r="G1265" t="str">
        <f t="shared" si="39"/>
        <v/>
      </c>
    </row>
    <row r="1266" spans="6:7" x14ac:dyDescent="0.2">
      <c r="F1266" t="str">
        <f t="shared" si="38"/>
        <v/>
      </c>
      <c r="G1266" t="str">
        <f t="shared" si="39"/>
        <v/>
      </c>
    </row>
    <row r="1267" spans="6:7" x14ac:dyDescent="0.2">
      <c r="F1267" t="str">
        <f t="shared" si="38"/>
        <v/>
      </c>
      <c r="G1267" t="str">
        <f t="shared" si="39"/>
        <v/>
      </c>
    </row>
    <row r="1268" spans="6:7" x14ac:dyDescent="0.2">
      <c r="F1268" t="str">
        <f t="shared" si="38"/>
        <v/>
      </c>
      <c r="G1268" t="str">
        <f t="shared" si="39"/>
        <v/>
      </c>
    </row>
    <row r="1269" spans="6:7" x14ac:dyDescent="0.2">
      <c r="F1269" t="str">
        <f t="shared" si="38"/>
        <v/>
      </c>
      <c r="G1269" t="str">
        <f t="shared" si="39"/>
        <v/>
      </c>
    </row>
    <row r="1270" spans="6:7" x14ac:dyDescent="0.2">
      <c r="F1270" t="str">
        <f t="shared" si="38"/>
        <v/>
      </c>
      <c r="G1270" t="str">
        <f t="shared" si="39"/>
        <v/>
      </c>
    </row>
    <row r="1271" spans="6:7" x14ac:dyDescent="0.2">
      <c r="F1271" t="str">
        <f t="shared" si="38"/>
        <v/>
      </c>
      <c r="G1271" t="str">
        <f t="shared" si="39"/>
        <v/>
      </c>
    </row>
    <row r="1272" spans="6:7" x14ac:dyDescent="0.2">
      <c r="F1272" t="str">
        <f t="shared" si="38"/>
        <v/>
      </c>
      <c r="G1272" t="str">
        <f t="shared" si="39"/>
        <v/>
      </c>
    </row>
    <row r="1273" spans="6:7" x14ac:dyDescent="0.2">
      <c r="F1273" t="str">
        <f t="shared" si="38"/>
        <v/>
      </c>
      <c r="G1273" t="str">
        <f t="shared" si="39"/>
        <v/>
      </c>
    </row>
    <row r="1274" spans="6:7" x14ac:dyDescent="0.2">
      <c r="F1274" t="str">
        <f t="shared" si="38"/>
        <v/>
      </c>
      <c r="G1274" t="str">
        <f t="shared" si="39"/>
        <v/>
      </c>
    </row>
    <row r="1275" spans="6:7" x14ac:dyDescent="0.2">
      <c r="F1275" t="str">
        <f t="shared" si="38"/>
        <v/>
      </c>
      <c r="G1275" t="str">
        <f t="shared" si="39"/>
        <v/>
      </c>
    </row>
    <row r="1276" spans="6:7" x14ac:dyDescent="0.2">
      <c r="F1276" t="str">
        <f t="shared" si="38"/>
        <v/>
      </c>
      <c r="G1276" t="str">
        <f t="shared" si="39"/>
        <v/>
      </c>
    </row>
    <row r="1277" spans="6:7" x14ac:dyDescent="0.2">
      <c r="F1277" t="str">
        <f t="shared" si="38"/>
        <v/>
      </c>
      <c r="G1277" t="str">
        <f t="shared" si="39"/>
        <v/>
      </c>
    </row>
    <row r="1278" spans="6:7" x14ac:dyDescent="0.2">
      <c r="F1278" t="str">
        <f t="shared" si="38"/>
        <v/>
      </c>
      <c r="G1278" t="str">
        <f t="shared" si="39"/>
        <v/>
      </c>
    </row>
    <row r="1279" spans="6:7" x14ac:dyDescent="0.2">
      <c r="F1279" t="str">
        <f t="shared" si="38"/>
        <v/>
      </c>
      <c r="G1279" t="str">
        <f t="shared" si="39"/>
        <v/>
      </c>
    </row>
    <row r="1280" spans="6:7" x14ac:dyDescent="0.2">
      <c r="F1280" t="str">
        <f t="shared" si="38"/>
        <v/>
      </c>
      <c r="G1280" t="str">
        <f t="shared" si="39"/>
        <v/>
      </c>
    </row>
    <row r="1281" spans="6:7" x14ac:dyDescent="0.2">
      <c r="F1281" t="str">
        <f t="shared" si="38"/>
        <v/>
      </c>
      <c r="G1281" t="str">
        <f t="shared" si="39"/>
        <v/>
      </c>
    </row>
    <row r="1282" spans="6:7" x14ac:dyDescent="0.2">
      <c r="F1282" t="str">
        <f t="shared" ref="F1282:F1345" si="40">IF(OR(D1282="",E1282=""),"",E1282-D1282)</f>
        <v/>
      </c>
      <c r="G1282" t="str">
        <f t="shared" ref="G1282:G1345" si="41">IF(F1282="","",IF(F1282&gt;0,"ANO","NE"))</f>
        <v/>
      </c>
    </row>
    <row r="1283" spans="6:7" x14ac:dyDescent="0.2">
      <c r="F1283" t="str">
        <f t="shared" si="40"/>
        <v/>
      </c>
      <c r="G1283" t="str">
        <f t="shared" si="41"/>
        <v/>
      </c>
    </row>
    <row r="1284" spans="6:7" x14ac:dyDescent="0.2">
      <c r="F1284" t="str">
        <f t="shared" si="40"/>
        <v/>
      </c>
      <c r="G1284" t="str">
        <f t="shared" si="41"/>
        <v/>
      </c>
    </row>
    <row r="1285" spans="6:7" x14ac:dyDescent="0.2">
      <c r="F1285" t="str">
        <f t="shared" si="40"/>
        <v/>
      </c>
      <c r="G1285" t="str">
        <f t="shared" si="41"/>
        <v/>
      </c>
    </row>
    <row r="1286" spans="6:7" x14ac:dyDescent="0.2">
      <c r="F1286" t="str">
        <f t="shared" si="40"/>
        <v/>
      </c>
      <c r="G1286" t="str">
        <f t="shared" si="41"/>
        <v/>
      </c>
    </row>
    <row r="1287" spans="6:7" x14ac:dyDescent="0.2">
      <c r="F1287" t="str">
        <f t="shared" si="40"/>
        <v/>
      </c>
      <c r="G1287" t="str">
        <f t="shared" si="41"/>
        <v/>
      </c>
    </row>
    <row r="1288" spans="6:7" x14ac:dyDescent="0.2">
      <c r="F1288" t="str">
        <f t="shared" si="40"/>
        <v/>
      </c>
      <c r="G1288" t="str">
        <f t="shared" si="41"/>
        <v/>
      </c>
    </row>
    <row r="1289" spans="6:7" x14ac:dyDescent="0.2">
      <c r="F1289" t="str">
        <f t="shared" si="40"/>
        <v/>
      </c>
      <c r="G1289" t="str">
        <f t="shared" si="41"/>
        <v/>
      </c>
    </row>
    <row r="1290" spans="6:7" x14ac:dyDescent="0.2">
      <c r="F1290" t="str">
        <f t="shared" si="40"/>
        <v/>
      </c>
      <c r="G1290" t="str">
        <f t="shared" si="41"/>
        <v/>
      </c>
    </row>
    <row r="1291" spans="6:7" x14ac:dyDescent="0.2">
      <c r="F1291" t="str">
        <f t="shared" si="40"/>
        <v/>
      </c>
      <c r="G1291" t="str">
        <f t="shared" si="41"/>
        <v/>
      </c>
    </row>
    <row r="1292" spans="6:7" x14ac:dyDescent="0.2">
      <c r="F1292" t="str">
        <f t="shared" si="40"/>
        <v/>
      </c>
      <c r="G1292" t="str">
        <f t="shared" si="41"/>
        <v/>
      </c>
    </row>
    <row r="1293" spans="6:7" x14ac:dyDescent="0.2">
      <c r="F1293" t="str">
        <f t="shared" si="40"/>
        <v/>
      </c>
      <c r="G1293" t="str">
        <f t="shared" si="41"/>
        <v/>
      </c>
    </row>
    <row r="1294" spans="6:7" x14ac:dyDescent="0.2">
      <c r="F1294" t="str">
        <f t="shared" si="40"/>
        <v/>
      </c>
      <c r="G1294" t="str">
        <f t="shared" si="41"/>
        <v/>
      </c>
    </row>
    <row r="1295" spans="6:7" x14ac:dyDescent="0.2">
      <c r="F1295" t="str">
        <f t="shared" si="40"/>
        <v/>
      </c>
      <c r="G1295" t="str">
        <f t="shared" si="41"/>
        <v/>
      </c>
    </row>
    <row r="1296" spans="6:7" x14ac:dyDescent="0.2">
      <c r="F1296" t="str">
        <f t="shared" si="40"/>
        <v/>
      </c>
      <c r="G1296" t="str">
        <f t="shared" si="41"/>
        <v/>
      </c>
    </row>
    <row r="1297" spans="6:7" x14ac:dyDescent="0.2">
      <c r="F1297" t="str">
        <f t="shared" si="40"/>
        <v/>
      </c>
      <c r="G1297" t="str">
        <f t="shared" si="41"/>
        <v/>
      </c>
    </row>
    <row r="1298" spans="6:7" x14ac:dyDescent="0.2">
      <c r="F1298" t="str">
        <f t="shared" si="40"/>
        <v/>
      </c>
      <c r="G1298" t="str">
        <f t="shared" si="41"/>
        <v/>
      </c>
    </row>
    <row r="1299" spans="6:7" x14ac:dyDescent="0.2">
      <c r="F1299" t="str">
        <f t="shared" si="40"/>
        <v/>
      </c>
      <c r="G1299" t="str">
        <f t="shared" si="41"/>
        <v/>
      </c>
    </row>
    <row r="1300" spans="6:7" x14ac:dyDescent="0.2">
      <c r="F1300" t="str">
        <f t="shared" si="40"/>
        <v/>
      </c>
      <c r="G1300" t="str">
        <f t="shared" si="41"/>
        <v/>
      </c>
    </row>
    <row r="1301" spans="6:7" x14ac:dyDescent="0.2">
      <c r="F1301" t="str">
        <f t="shared" si="40"/>
        <v/>
      </c>
      <c r="G1301" t="str">
        <f t="shared" si="41"/>
        <v/>
      </c>
    </row>
    <row r="1302" spans="6:7" x14ac:dyDescent="0.2">
      <c r="F1302" t="str">
        <f t="shared" si="40"/>
        <v/>
      </c>
      <c r="G1302" t="str">
        <f t="shared" si="41"/>
        <v/>
      </c>
    </row>
    <row r="1303" spans="6:7" x14ac:dyDescent="0.2">
      <c r="F1303" t="str">
        <f t="shared" si="40"/>
        <v/>
      </c>
      <c r="G1303" t="str">
        <f t="shared" si="41"/>
        <v/>
      </c>
    </row>
    <row r="1304" spans="6:7" x14ac:dyDescent="0.2">
      <c r="F1304" t="str">
        <f t="shared" si="40"/>
        <v/>
      </c>
      <c r="G1304" t="str">
        <f t="shared" si="41"/>
        <v/>
      </c>
    </row>
    <row r="1305" spans="6:7" x14ac:dyDescent="0.2">
      <c r="F1305" t="str">
        <f t="shared" si="40"/>
        <v/>
      </c>
      <c r="G1305" t="str">
        <f t="shared" si="41"/>
        <v/>
      </c>
    </row>
    <row r="1306" spans="6:7" x14ac:dyDescent="0.2">
      <c r="F1306" t="str">
        <f t="shared" si="40"/>
        <v/>
      </c>
      <c r="G1306" t="str">
        <f t="shared" si="41"/>
        <v/>
      </c>
    </row>
    <row r="1307" spans="6:7" x14ac:dyDescent="0.2">
      <c r="F1307" t="str">
        <f t="shared" si="40"/>
        <v/>
      </c>
      <c r="G1307" t="str">
        <f t="shared" si="41"/>
        <v/>
      </c>
    </row>
    <row r="1308" spans="6:7" x14ac:dyDescent="0.2">
      <c r="F1308" t="str">
        <f t="shared" si="40"/>
        <v/>
      </c>
      <c r="G1308" t="str">
        <f t="shared" si="41"/>
        <v/>
      </c>
    </row>
    <row r="1309" spans="6:7" x14ac:dyDescent="0.2">
      <c r="F1309" t="str">
        <f t="shared" si="40"/>
        <v/>
      </c>
      <c r="G1309" t="str">
        <f t="shared" si="41"/>
        <v/>
      </c>
    </row>
    <row r="1310" spans="6:7" x14ac:dyDescent="0.2">
      <c r="F1310" t="str">
        <f t="shared" si="40"/>
        <v/>
      </c>
      <c r="G1310" t="str">
        <f t="shared" si="41"/>
        <v/>
      </c>
    </row>
    <row r="1311" spans="6:7" x14ac:dyDescent="0.2">
      <c r="F1311" t="str">
        <f t="shared" si="40"/>
        <v/>
      </c>
      <c r="G1311" t="str">
        <f t="shared" si="41"/>
        <v/>
      </c>
    </row>
    <row r="1312" spans="6:7" x14ac:dyDescent="0.2">
      <c r="F1312" t="str">
        <f t="shared" si="40"/>
        <v/>
      </c>
      <c r="G1312" t="str">
        <f t="shared" si="41"/>
        <v/>
      </c>
    </row>
    <row r="1313" spans="6:7" x14ac:dyDescent="0.2">
      <c r="F1313" t="str">
        <f t="shared" si="40"/>
        <v/>
      </c>
      <c r="G1313" t="str">
        <f t="shared" si="41"/>
        <v/>
      </c>
    </row>
    <row r="1314" spans="6:7" x14ac:dyDescent="0.2">
      <c r="F1314" t="str">
        <f t="shared" si="40"/>
        <v/>
      </c>
      <c r="G1314" t="str">
        <f t="shared" si="41"/>
        <v/>
      </c>
    </row>
    <row r="1315" spans="6:7" x14ac:dyDescent="0.2">
      <c r="F1315" t="str">
        <f t="shared" si="40"/>
        <v/>
      </c>
      <c r="G1315" t="str">
        <f t="shared" si="41"/>
        <v/>
      </c>
    </row>
    <row r="1316" spans="6:7" x14ac:dyDescent="0.2">
      <c r="F1316" t="str">
        <f t="shared" si="40"/>
        <v/>
      </c>
      <c r="G1316" t="str">
        <f t="shared" si="41"/>
        <v/>
      </c>
    </row>
    <row r="1317" spans="6:7" x14ac:dyDescent="0.2">
      <c r="F1317" t="str">
        <f t="shared" si="40"/>
        <v/>
      </c>
      <c r="G1317" t="str">
        <f t="shared" si="41"/>
        <v/>
      </c>
    </row>
    <row r="1318" spans="6:7" x14ac:dyDescent="0.2">
      <c r="F1318" t="str">
        <f t="shared" si="40"/>
        <v/>
      </c>
      <c r="G1318" t="str">
        <f t="shared" si="41"/>
        <v/>
      </c>
    </row>
    <row r="1319" spans="6:7" x14ac:dyDescent="0.2">
      <c r="F1319" t="str">
        <f t="shared" si="40"/>
        <v/>
      </c>
      <c r="G1319" t="str">
        <f t="shared" si="41"/>
        <v/>
      </c>
    </row>
    <row r="1320" spans="6:7" x14ac:dyDescent="0.2">
      <c r="F1320" t="str">
        <f t="shared" si="40"/>
        <v/>
      </c>
      <c r="G1320" t="str">
        <f t="shared" si="41"/>
        <v/>
      </c>
    </row>
    <row r="1321" spans="6:7" x14ac:dyDescent="0.2">
      <c r="F1321" t="str">
        <f t="shared" si="40"/>
        <v/>
      </c>
      <c r="G1321" t="str">
        <f t="shared" si="41"/>
        <v/>
      </c>
    </row>
    <row r="1322" spans="6:7" x14ac:dyDescent="0.2">
      <c r="F1322" t="str">
        <f t="shared" si="40"/>
        <v/>
      </c>
      <c r="G1322" t="str">
        <f t="shared" si="41"/>
        <v/>
      </c>
    </row>
    <row r="1323" spans="6:7" x14ac:dyDescent="0.2">
      <c r="F1323" t="str">
        <f t="shared" si="40"/>
        <v/>
      </c>
      <c r="G1323" t="str">
        <f t="shared" si="41"/>
        <v/>
      </c>
    </row>
    <row r="1324" spans="6:7" x14ac:dyDescent="0.2">
      <c r="F1324" t="str">
        <f t="shared" si="40"/>
        <v/>
      </c>
      <c r="G1324" t="str">
        <f t="shared" si="41"/>
        <v/>
      </c>
    </row>
    <row r="1325" spans="6:7" x14ac:dyDescent="0.2">
      <c r="F1325" t="str">
        <f t="shared" si="40"/>
        <v/>
      </c>
      <c r="G1325" t="str">
        <f t="shared" si="41"/>
        <v/>
      </c>
    </row>
    <row r="1326" spans="6:7" x14ac:dyDescent="0.2">
      <c r="F1326" t="str">
        <f t="shared" si="40"/>
        <v/>
      </c>
      <c r="G1326" t="str">
        <f t="shared" si="41"/>
        <v/>
      </c>
    </row>
    <row r="1327" spans="6:7" x14ac:dyDescent="0.2">
      <c r="F1327" t="str">
        <f t="shared" si="40"/>
        <v/>
      </c>
      <c r="G1327" t="str">
        <f t="shared" si="41"/>
        <v/>
      </c>
    </row>
    <row r="1328" spans="6:7" x14ac:dyDescent="0.2">
      <c r="F1328" t="str">
        <f t="shared" si="40"/>
        <v/>
      </c>
      <c r="G1328" t="str">
        <f t="shared" si="41"/>
        <v/>
      </c>
    </row>
    <row r="1329" spans="6:7" x14ac:dyDescent="0.2">
      <c r="F1329" t="str">
        <f t="shared" si="40"/>
        <v/>
      </c>
      <c r="G1329" t="str">
        <f t="shared" si="41"/>
        <v/>
      </c>
    </row>
    <row r="1330" spans="6:7" x14ac:dyDescent="0.2">
      <c r="F1330" t="str">
        <f t="shared" si="40"/>
        <v/>
      </c>
      <c r="G1330" t="str">
        <f t="shared" si="41"/>
        <v/>
      </c>
    </row>
    <row r="1331" spans="6:7" x14ac:dyDescent="0.2">
      <c r="F1331" t="str">
        <f t="shared" si="40"/>
        <v/>
      </c>
      <c r="G1331" t="str">
        <f t="shared" si="41"/>
        <v/>
      </c>
    </row>
    <row r="1332" spans="6:7" x14ac:dyDescent="0.2">
      <c r="F1332" t="str">
        <f t="shared" si="40"/>
        <v/>
      </c>
      <c r="G1332" t="str">
        <f t="shared" si="41"/>
        <v/>
      </c>
    </row>
    <row r="1333" spans="6:7" x14ac:dyDescent="0.2">
      <c r="F1333" t="str">
        <f t="shared" si="40"/>
        <v/>
      </c>
      <c r="G1333" t="str">
        <f t="shared" si="41"/>
        <v/>
      </c>
    </row>
    <row r="1334" spans="6:7" x14ac:dyDescent="0.2">
      <c r="F1334" t="str">
        <f t="shared" si="40"/>
        <v/>
      </c>
      <c r="G1334" t="str">
        <f t="shared" si="41"/>
        <v/>
      </c>
    </row>
    <row r="1335" spans="6:7" x14ac:dyDescent="0.2">
      <c r="F1335" t="str">
        <f t="shared" si="40"/>
        <v/>
      </c>
      <c r="G1335" t="str">
        <f t="shared" si="41"/>
        <v/>
      </c>
    </row>
    <row r="1336" spans="6:7" x14ac:dyDescent="0.2">
      <c r="F1336" t="str">
        <f t="shared" si="40"/>
        <v/>
      </c>
      <c r="G1336" t="str">
        <f t="shared" si="41"/>
        <v/>
      </c>
    </row>
    <row r="1337" spans="6:7" x14ac:dyDescent="0.2">
      <c r="F1337" t="str">
        <f t="shared" si="40"/>
        <v/>
      </c>
      <c r="G1337" t="str">
        <f t="shared" si="41"/>
        <v/>
      </c>
    </row>
    <row r="1338" spans="6:7" x14ac:dyDescent="0.2">
      <c r="F1338" t="str">
        <f t="shared" si="40"/>
        <v/>
      </c>
      <c r="G1338" t="str">
        <f t="shared" si="41"/>
        <v/>
      </c>
    </row>
    <row r="1339" spans="6:7" x14ac:dyDescent="0.2">
      <c r="F1339" t="str">
        <f t="shared" si="40"/>
        <v/>
      </c>
      <c r="G1339" t="str">
        <f t="shared" si="41"/>
        <v/>
      </c>
    </row>
    <row r="1340" spans="6:7" x14ac:dyDescent="0.2">
      <c r="F1340" t="str">
        <f t="shared" si="40"/>
        <v/>
      </c>
      <c r="G1340" t="str">
        <f t="shared" si="41"/>
        <v/>
      </c>
    </row>
    <row r="1341" spans="6:7" x14ac:dyDescent="0.2">
      <c r="F1341" t="str">
        <f t="shared" si="40"/>
        <v/>
      </c>
      <c r="G1341" t="str">
        <f t="shared" si="41"/>
        <v/>
      </c>
    </row>
    <row r="1342" spans="6:7" x14ac:dyDescent="0.2">
      <c r="F1342" t="str">
        <f t="shared" si="40"/>
        <v/>
      </c>
      <c r="G1342" t="str">
        <f t="shared" si="41"/>
        <v/>
      </c>
    </row>
    <row r="1343" spans="6:7" x14ac:dyDescent="0.2">
      <c r="F1343" t="str">
        <f t="shared" si="40"/>
        <v/>
      </c>
      <c r="G1343" t="str">
        <f t="shared" si="41"/>
        <v/>
      </c>
    </row>
    <row r="1344" spans="6:7" x14ac:dyDescent="0.2">
      <c r="F1344" t="str">
        <f t="shared" si="40"/>
        <v/>
      </c>
      <c r="G1344" t="str">
        <f t="shared" si="41"/>
        <v/>
      </c>
    </row>
    <row r="1345" spans="6:7" x14ac:dyDescent="0.2">
      <c r="F1345" t="str">
        <f t="shared" si="40"/>
        <v/>
      </c>
      <c r="G1345" t="str">
        <f t="shared" si="41"/>
        <v/>
      </c>
    </row>
    <row r="1346" spans="6:7" x14ac:dyDescent="0.2">
      <c r="F1346" t="str">
        <f t="shared" ref="F1346:F1409" si="42">IF(OR(D1346="",E1346=""),"",E1346-D1346)</f>
        <v/>
      </c>
      <c r="G1346" t="str">
        <f t="shared" ref="G1346:G1409" si="43">IF(F1346="","",IF(F1346&gt;0,"ANO","NE"))</f>
        <v/>
      </c>
    </row>
    <row r="1347" spans="6:7" x14ac:dyDescent="0.2">
      <c r="F1347" t="str">
        <f t="shared" si="42"/>
        <v/>
      </c>
      <c r="G1347" t="str">
        <f t="shared" si="43"/>
        <v/>
      </c>
    </row>
    <row r="1348" spans="6:7" x14ac:dyDescent="0.2">
      <c r="F1348" t="str">
        <f t="shared" si="42"/>
        <v/>
      </c>
      <c r="G1348" t="str">
        <f t="shared" si="43"/>
        <v/>
      </c>
    </row>
    <row r="1349" spans="6:7" x14ac:dyDescent="0.2">
      <c r="F1349" t="str">
        <f t="shared" si="42"/>
        <v/>
      </c>
      <c r="G1349" t="str">
        <f t="shared" si="43"/>
        <v/>
      </c>
    </row>
    <row r="1350" spans="6:7" x14ac:dyDescent="0.2">
      <c r="F1350" t="str">
        <f t="shared" si="42"/>
        <v/>
      </c>
      <c r="G1350" t="str">
        <f t="shared" si="43"/>
        <v/>
      </c>
    </row>
    <row r="1351" spans="6:7" x14ac:dyDescent="0.2">
      <c r="F1351" t="str">
        <f t="shared" si="42"/>
        <v/>
      </c>
      <c r="G1351" t="str">
        <f t="shared" si="43"/>
        <v/>
      </c>
    </row>
    <row r="1352" spans="6:7" x14ac:dyDescent="0.2">
      <c r="F1352" t="str">
        <f t="shared" si="42"/>
        <v/>
      </c>
      <c r="G1352" t="str">
        <f t="shared" si="43"/>
        <v/>
      </c>
    </row>
    <row r="1353" spans="6:7" x14ac:dyDescent="0.2">
      <c r="F1353" t="str">
        <f t="shared" si="42"/>
        <v/>
      </c>
      <c r="G1353" t="str">
        <f t="shared" si="43"/>
        <v/>
      </c>
    </row>
    <row r="1354" spans="6:7" x14ac:dyDescent="0.2">
      <c r="F1354" t="str">
        <f t="shared" si="42"/>
        <v/>
      </c>
      <c r="G1354" t="str">
        <f t="shared" si="43"/>
        <v/>
      </c>
    </row>
    <row r="1355" spans="6:7" x14ac:dyDescent="0.2">
      <c r="F1355" t="str">
        <f t="shared" si="42"/>
        <v/>
      </c>
      <c r="G1355" t="str">
        <f t="shared" si="43"/>
        <v/>
      </c>
    </row>
    <row r="1356" spans="6:7" x14ac:dyDescent="0.2">
      <c r="F1356" t="str">
        <f t="shared" si="42"/>
        <v/>
      </c>
      <c r="G1356" t="str">
        <f t="shared" si="43"/>
        <v/>
      </c>
    </row>
    <row r="1357" spans="6:7" x14ac:dyDescent="0.2">
      <c r="F1357" t="str">
        <f t="shared" si="42"/>
        <v/>
      </c>
      <c r="G1357" t="str">
        <f t="shared" si="43"/>
        <v/>
      </c>
    </row>
    <row r="1358" spans="6:7" x14ac:dyDescent="0.2">
      <c r="F1358" t="str">
        <f t="shared" si="42"/>
        <v/>
      </c>
      <c r="G1358" t="str">
        <f t="shared" si="43"/>
        <v/>
      </c>
    </row>
    <row r="1359" spans="6:7" x14ac:dyDescent="0.2">
      <c r="F1359" t="str">
        <f t="shared" si="42"/>
        <v/>
      </c>
      <c r="G1359" t="str">
        <f t="shared" si="43"/>
        <v/>
      </c>
    </row>
    <row r="1360" spans="6:7" x14ac:dyDescent="0.2">
      <c r="F1360" t="str">
        <f t="shared" si="42"/>
        <v/>
      </c>
      <c r="G1360" t="str">
        <f t="shared" si="43"/>
        <v/>
      </c>
    </row>
    <row r="1361" spans="6:7" x14ac:dyDescent="0.2">
      <c r="F1361" t="str">
        <f t="shared" si="42"/>
        <v/>
      </c>
      <c r="G1361" t="str">
        <f t="shared" si="43"/>
        <v/>
      </c>
    </row>
    <row r="1362" spans="6:7" x14ac:dyDescent="0.2">
      <c r="F1362" t="str">
        <f t="shared" si="42"/>
        <v/>
      </c>
      <c r="G1362" t="str">
        <f t="shared" si="43"/>
        <v/>
      </c>
    </row>
    <row r="1363" spans="6:7" x14ac:dyDescent="0.2">
      <c r="F1363" t="str">
        <f t="shared" si="42"/>
        <v/>
      </c>
      <c r="G1363" t="str">
        <f t="shared" si="43"/>
        <v/>
      </c>
    </row>
    <row r="1364" spans="6:7" x14ac:dyDescent="0.2">
      <c r="F1364" t="str">
        <f t="shared" si="42"/>
        <v/>
      </c>
      <c r="G1364" t="str">
        <f t="shared" si="43"/>
        <v/>
      </c>
    </row>
    <row r="1365" spans="6:7" x14ac:dyDescent="0.2">
      <c r="F1365" t="str">
        <f t="shared" si="42"/>
        <v/>
      </c>
      <c r="G1365" t="str">
        <f t="shared" si="43"/>
        <v/>
      </c>
    </row>
    <row r="1366" spans="6:7" x14ac:dyDescent="0.2">
      <c r="F1366" t="str">
        <f t="shared" si="42"/>
        <v/>
      </c>
      <c r="G1366" t="str">
        <f t="shared" si="43"/>
        <v/>
      </c>
    </row>
    <row r="1367" spans="6:7" x14ac:dyDescent="0.2">
      <c r="F1367" t="str">
        <f t="shared" si="42"/>
        <v/>
      </c>
      <c r="G1367" t="str">
        <f t="shared" si="43"/>
        <v/>
      </c>
    </row>
    <row r="1368" spans="6:7" x14ac:dyDescent="0.2">
      <c r="F1368" t="str">
        <f t="shared" si="42"/>
        <v/>
      </c>
      <c r="G1368" t="str">
        <f t="shared" si="43"/>
        <v/>
      </c>
    </row>
    <row r="1369" spans="6:7" x14ac:dyDescent="0.2">
      <c r="F1369" t="str">
        <f t="shared" si="42"/>
        <v/>
      </c>
      <c r="G1369" t="str">
        <f t="shared" si="43"/>
        <v/>
      </c>
    </row>
    <row r="1370" spans="6:7" x14ac:dyDescent="0.2">
      <c r="F1370" t="str">
        <f t="shared" si="42"/>
        <v/>
      </c>
      <c r="G1370" t="str">
        <f t="shared" si="43"/>
        <v/>
      </c>
    </row>
    <row r="1371" spans="6:7" x14ac:dyDescent="0.2">
      <c r="F1371" t="str">
        <f t="shared" si="42"/>
        <v/>
      </c>
      <c r="G1371" t="str">
        <f t="shared" si="43"/>
        <v/>
      </c>
    </row>
    <row r="1372" spans="6:7" x14ac:dyDescent="0.2">
      <c r="F1372" t="str">
        <f t="shared" si="42"/>
        <v/>
      </c>
      <c r="G1372" t="str">
        <f t="shared" si="43"/>
        <v/>
      </c>
    </row>
    <row r="1373" spans="6:7" x14ac:dyDescent="0.2">
      <c r="F1373" t="str">
        <f t="shared" si="42"/>
        <v/>
      </c>
      <c r="G1373" t="str">
        <f t="shared" si="43"/>
        <v/>
      </c>
    </row>
    <row r="1374" spans="6:7" x14ac:dyDescent="0.2">
      <c r="F1374" t="str">
        <f t="shared" si="42"/>
        <v/>
      </c>
      <c r="G1374" t="str">
        <f t="shared" si="43"/>
        <v/>
      </c>
    </row>
    <row r="1375" spans="6:7" x14ac:dyDescent="0.2">
      <c r="F1375" t="str">
        <f t="shared" si="42"/>
        <v/>
      </c>
      <c r="G1375" t="str">
        <f t="shared" si="43"/>
        <v/>
      </c>
    </row>
    <row r="1376" spans="6:7" x14ac:dyDescent="0.2">
      <c r="F1376" t="str">
        <f t="shared" si="42"/>
        <v/>
      </c>
      <c r="G1376" t="str">
        <f t="shared" si="43"/>
        <v/>
      </c>
    </row>
    <row r="1377" spans="6:7" x14ac:dyDescent="0.2">
      <c r="F1377" t="str">
        <f t="shared" si="42"/>
        <v/>
      </c>
      <c r="G1377" t="str">
        <f t="shared" si="43"/>
        <v/>
      </c>
    </row>
    <row r="1378" spans="6:7" x14ac:dyDescent="0.2">
      <c r="F1378" t="str">
        <f t="shared" si="42"/>
        <v/>
      </c>
      <c r="G1378" t="str">
        <f t="shared" si="43"/>
        <v/>
      </c>
    </row>
    <row r="1379" spans="6:7" x14ac:dyDescent="0.2">
      <c r="F1379" t="str">
        <f t="shared" si="42"/>
        <v/>
      </c>
      <c r="G1379" t="str">
        <f t="shared" si="43"/>
        <v/>
      </c>
    </row>
    <row r="1380" spans="6:7" x14ac:dyDescent="0.2">
      <c r="F1380" t="str">
        <f t="shared" si="42"/>
        <v/>
      </c>
      <c r="G1380" t="str">
        <f t="shared" si="43"/>
        <v/>
      </c>
    </row>
    <row r="1381" spans="6:7" x14ac:dyDescent="0.2">
      <c r="F1381" t="str">
        <f t="shared" si="42"/>
        <v/>
      </c>
      <c r="G1381" t="str">
        <f t="shared" si="43"/>
        <v/>
      </c>
    </row>
    <row r="1382" spans="6:7" x14ac:dyDescent="0.2">
      <c r="F1382" t="str">
        <f t="shared" si="42"/>
        <v/>
      </c>
      <c r="G1382" t="str">
        <f t="shared" si="43"/>
        <v/>
      </c>
    </row>
    <row r="1383" spans="6:7" x14ac:dyDescent="0.2">
      <c r="F1383" t="str">
        <f t="shared" si="42"/>
        <v/>
      </c>
      <c r="G1383" t="str">
        <f t="shared" si="43"/>
        <v/>
      </c>
    </row>
    <row r="1384" spans="6:7" x14ac:dyDescent="0.2">
      <c r="F1384" t="str">
        <f t="shared" si="42"/>
        <v/>
      </c>
      <c r="G1384" t="str">
        <f t="shared" si="43"/>
        <v/>
      </c>
    </row>
    <row r="1385" spans="6:7" x14ac:dyDescent="0.2">
      <c r="F1385" t="str">
        <f t="shared" si="42"/>
        <v/>
      </c>
      <c r="G1385" t="str">
        <f t="shared" si="43"/>
        <v/>
      </c>
    </row>
    <row r="1386" spans="6:7" x14ac:dyDescent="0.2">
      <c r="F1386" t="str">
        <f t="shared" si="42"/>
        <v/>
      </c>
      <c r="G1386" t="str">
        <f t="shared" si="43"/>
        <v/>
      </c>
    </row>
    <row r="1387" spans="6:7" x14ac:dyDescent="0.2">
      <c r="F1387" t="str">
        <f t="shared" si="42"/>
        <v/>
      </c>
      <c r="G1387" t="str">
        <f t="shared" si="43"/>
        <v/>
      </c>
    </row>
    <row r="1388" spans="6:7" x14ac:dyDescent="0.2">
      <c r="F1388" t="str">
        <f t="shared" si="42"/>
        <v/>
      </c>
      <c r="G1388" t="str">
        <f t="shared" si="43"/>
        <v/>
      </c>
    </row>
    <row r="1389" spans="6:7" x14ac:dyDescent="0.2">
      <c r="F1389" t="str">
        <f t="shared" si="42"/>
        <v/>
      </c>
      <c r="G1389" t="str">
        <f t="shared" si="43"/>
        <v/>
      </c>
    </row>
    <row r="1390" spans="6:7" x14ac:dyDescent="0.2">
      <c r="F1390" t="str">
        <f t="shared" si="42"/>
        <v/>
      </c>
      <c r="G1390" t="str">
        <f t="shared" si="43"/>
        <v/>
      </c>
    </row>
    <row r="1391" spans="6:7" x14ac:dyDescent="0.2">
      <c r="F1391" t="str">
        <f t="shared" si="42"/>
        <v/>
      </c>
      <c r="G1391" t="str">
        <f t="shared" si="43"/>
        <v/>
      </c>
    </row>
    <row r="1392" spans="6:7" x14ac:dyDescent="0.2">
      <c r="F1392" t="str">
        <f t="shared" si="42"/>
        <v/>
      </c>
      <c r="G1392" t="str">
        <f t="shared" si="43"/>
        <v/>
      </c>
    </row>
    <row r="1393" spans="6:7" x14ac:dyDescent="0.2">
      <c r="F1393" t="str">
        <f t="shared" si="42"/>
        <v/>
      </c>
      <c r="G1393" t="str">
        <f t="shared" si="43"/>
        <v/>
      </c>
    </row>
    <row r="1394" spans="6:7" x14ac:dyDescent="0.2">
      <c r="F1394" t="str">
        <f t="shared" si="42"/>
        <v/>
      </c>
      <c r="G1394" t="str">
        <f t="shared" si="43"/>
        <v/>
      </c>
    </row>
    <row r="1395" spans="6:7" x14ac:dyDescent="0.2">
      <c r="F1395" t="str">
        <f t="shared" si="42"/>
        <v/>
      </c>
      <c r="G1395" t="str">
        <f t="shared" si="43"/>
        <v/>
      </c>
    </row>
    <row r="1396" spans="6:7" x14ac:dyDescent="0.2">
      <c r="F1396" t="str">
        <f t="shared" si="42"/>
        <v/>
      </c>
      <c r="G1396" t="str">
        <f t="shared" si="43"/>
        <v/>
      </c>
    </row>
    <row r="1397" spans="6:7" x14ac:dyDescent="0.2">
      <c r="F1397" t="str">
        <f t="shared" si="42"/>
        <v/>
      </c>
      <c r="G1397" t="str">
        <f t="shared" si="43"/>
        <v/>
      </c>
    </row>
    <row r="1398" spans="6:7" x14ac:dyDescent="0.2">
      <c r="F1398" t="str">
        <f t="shared" si="42"/>
        <v/>
      </c>
      <c r="G1398" t="str">
        <f t="shared" si="43"/>
        <v/>
      </c>
    </row>
    <row r="1399" spans="6:7" x14ac:dyDescent="0.2">
      <c r="F1399" t="str">
        <f t="shared" si="42"/>
        <v/>
      </c>
      <c r="G1399" t="str">
        <f t="shared" si="43"/>
        <v/>
      </c>
    </row>
    <row r="1400" spans="6:7" x14ac:dyDescent="0.2">
      <c r="F1400" t="str">
        <f t="shared" si="42"/>
        <v/>
      </c>
      <c r="G1400" t="str">
        <f t="shared" si="43"/>
        <v/>
      </c>
    </row>
    <row r="1401" spans="6:7" x14ac:dyDescent="0.2">
      <c r="F1401" t="str">
        <f t="shared" si="42"/>
        <v/>
      </c>
      <c r="G1401" t="str">
        <f t="shared" si="43"/>
        <v/>
      </c>
    </row>
    <row r="1402" spans="6:7" x14ac:dyDescent="0.2">
      <c r="F1402" t="str">
        <f t="shared" si="42"/>
        <v/>
      </c>
      <c r="G1402" t="str">
        <f t="shared" si="43"/>
        <v/>
      </c>
    </row>
    <row r="1403" spans="6:7" x14ac:dyDescent="0.2">
      <c r="F1403" t="str">
        <f t="shared" si="42"/>
        <v/>
      </c>
      <c r="G1403" t="str">
        <f t="shared" si="43"/>
        <v/>
      </c>
    </row>
    <row r="1404" spans="6:7" x14ac:dyDescent="0.2">
      <c r="F1404" t="str">
        <f t="shared" si="42"/>
        <v/>
      </c>
      <c r="G1404" t="str">
        <f t="shared" si="43"/>
        <v/>
      </c>
    </row>
    <row r="1405" spans="6:7" x14ac:dyDescent="0.2">
      <c r="F1405" t="str">
        <f t="shared" si="42"/>
        <v/>
      </c>
      <c r="G1405" t="str">
        <f t="shared" si="43"/>
        <v/>
      </c>
    </row>
    <row r="1406" spans="6:7" x14ac:dyDescent="0.2">
      <c r="F1406" t="str">
        <f t="shared" si="42"/>
        <v/>
      </c>
      <c r="G1406" t="str">
        <f t="shared" si="43"/>
        <v/>
      </c>
    </row>
    <row r="1407" spans="6:7" x14ac:dyDescent="0.2">
      <c r="F1407" t="str">
        <f t="shared" si="42"/>
        <v/>
      </c>
      <c r="G1407" t="str">
        <f t="shared" si="43"/>
        <v/>
      </c>
    </row>
    <row r="1408" spans="6:7" x14ac:dyDescent="0.2">
      <c r="F1408" t="str">
        <f t="shared" si="42"/>
        <v/>
      </c>
      <c r="G1408" t="str">
        <f t="shared" si="43"/>
        <v/>
      </c>
    </row>
    <row r="1409" spans="6:7" x14ac:dyDescent="0.2">
      <c r="F1409" t="str">
        <f t="shared" si="42"/>
        <v/>
      </c>
      <c r="G1409" t="str">
        <f t="shared" si="43"/>
        <v/>
      </c>
    </row>
    <row r="1410" spans="6:7" x14ac:dyDescent="0.2">
      <c r="F1410" t="str">
        <f t="shared" ref="F1410:F1473" si="44">IF(OR(D1410="",E1410=""),"",E1410-D1410)</f>
        <v/>
      </c>
      <c r="G1410" t="str">
        <f t="shared" ref="G1410:G1473" si="45">IF(F1410="","",IF(F1410&gt;0,"ANO","NE"))</f>
        <v/>
      </c>
    </row>
    <row r="1411" spans="6:7" x14ac:dyDescent="0.2">
      <c r="F1411" t="str">
        <f t="shared" si="44"/>
        <v/>
      </c>
      <c r="G1411" t="str">
        <f t="shared" si="45"/>
        <v/>
      </c>
    </row>
    <row r="1412" spans="6:7" x14ac:dyDescent="0.2">
      <c r="F1412" t="str">
        <f t="shared" si="44"/>
        <v/>
      </c>
      <c r="G1412" t="str">
        <f t="shared" si="45"/>
        <v/>
      </c>
    </row>
    <row r="1413" spans="6:7" x14ac:dyDescent="0.2">
      <c r="F1413" t="str">
        <f t="shared" si="44"/>
        <v/>
      </c>
      <c r="G1413" t="str">
        <f t="shared" si="45"/>
        <v/>
      </c>
    </row>
    <row r="1414" spans="6:7" x14ac:dyDescent="0.2">
      <c r="F1414" t="str">
        <f t="shared" si="44"/>
        <v/>
      </c>
      <c r="G1414" t="str">
        <f t="shared" si="45"/>
        <v/>
      </c>
    </row>
    <row r="1415" spans="6:7" x14ac:dyDescent="0.2">
      <c r="F1415" t="str">
        <f t="shared" si="44"/>
        <v/>
      </c>
      <c r="G1415" t="str">
        <f t="shared" si="45"/>
        <v/>
      </c>
    </row>
    <row r="1416" spans="6:7" x14ac:dyDescent="0.2">
      <c r="F1416" t="str">
        <f t="shared" si="44"/>
        <v/>
      </c>
      <c r="G1416" t="str">
        <f t="shared" si="45"/>
        <v/>
      </c>
    </row>
    <row r="1417" spans="6:7" x14ac:dyDescent="0.2">
      <c r="F1417" t="str">
        <f t="shared" si="44"/>
        <v/>
      </c>
      <c r="G1417" t="str">
        <f t="shared" si="45"/>
        <v/>
      </c>
    </row>
    <row r="1418" spans="6:7" x14ac:dyDescent="0.2">
      <c r="F1418" t="str">
        <f t="shared" si="44"/>
        <v/>
      </c>
      <c r="G1418" t="str">
        <f t="shared" si="45"/>
        <v/>
      </c>
    </row>
    <row r="1419" spans="6:7" x14ac:dyDescent="0.2">
      <c r="F1419" t="str">
        <f t="shared" si="44"/>
        <v/>
      </c>
      <c r="G1419" t="str">
        <f t="shared" si="45"/>
        <v/>
      </c>
    </row>
    <row r="1420" spans="6:7" x14ac:dyDescent="0.2">
      <c r="F1420" t="str">
        <f t="shared" si="44"/>
        <v/>
      </c>
      <c r="G1420" t="str">
        <f t="shared" si="45"/>
        <v/>
      </c>
    </row>
    <row r="1421" spans="6:7" x14ac:dyDescent="0.2">
      <c r="F1421" t="str">
        <f t="shared" si="44"/>
        <v/>
      </c>
      <c r="G1421" t="str">
        <f t="shared" si="45"/>
        <v/>
      </c>
    </row>
    <row r="1422" spans="6:7" x14ac:dyDescent="0.2">
      <c r="F1422" t="str">
        <f t="shared" si="44"/>
        <v/>
      </c>
      <c r="G1422" t="str">
        <f t="shared" si="45"/>
        <v/>
      </c>
    </row>
    <row r="1423" spans="6:7" x14ac:dyDescent="0.2">
      <c r="F1423" t="str">
        <f t="shared" si="44"/>
        <v/>
      </c>
      <c r="G1423" t="str">
        <f t="shared" si="45"/>
        <v/>
      </c>
    </row>
    <row r="1424" spans="6:7" x14ac:dyDescent="0.2">
      <c r="F1424" t="str">
        <f t="shared" si="44"/>
        <v/>
      </c>
      <c r="G1424" t="str">
        <f t="shared" si="45"/>
        <v/>
      </c>
    </row>
    <row r="1425" spans="6:7" x14ac:dyDescent="0.2">
      <c r="F1425" t="str">
        <f t="shared" si="44"/>
        <v/>
      </c>
      <c r="G1425" t="str">
        <f t="shared" si="45"/>
        <v/>
      </c>
    </row>
    <row r="1426" spans="6:7" x14ac:dyDescent="0.2">
      <c r="F1426" t="str">
        <f t="shared" si="44"/>
        <v/>
      </c>
      <c r="G1426" t="str">
        <f t="shared" si="45"/>
        <v/>
      </c>
    </row>
    <row r="1427" spans="6:7" x14ac:dyDescent="0.2">
      <c r="F1427" t="str">
        <f t="shared" si="44"/>
        <v/>
      </c>
      <c r="G1427" t="str">
        <f t="shared" si="45"/>
        <v/>
      </c>
    </row>
    <row r="1428" spans="6:7" x14ac:dyDescent="0.2">
      <c r="F1428" t="str">
        <f t="shared" si="44"/>
        <v/>
      </c>
      <c r="G1428" t="str">
        <f t="shared" si="45"/>
        <v/>
      </c>
    </row>
    <row r="1429" spans="6:7" x14ac:dyDescent="0.2">
      <c r="F1429" t="str">
        <f t="shared" si="44"/>
        <v/>
      </c>
      <c r="G1429" t="str">
        <f t="shared" si="45"/>
        <v/>
      </c>
    </row>
    <row r="1430" spans="6:7" x14ac:dyDescent="0.2">
      <c r="F1430" t="str">
        <f t="shared" si="44"/>
        <v/>
      </c>
      <c r="G1430" t="str">
        <f t="shared" si="45"/>
        <v/>
      </c>
    </row>
    <row r="1431" spans="6:7" x14ac:dyDescent="0.2">
      <c r="F1431" t="str">
        <f t="shared" si="44"/>
        <v/>
      </c>
      <c r="G1431" t="str">
        <f t="shared" si="45"/>
        <v/>
      </c>
    </row>
    <row r="1432" spans="6:7" x14ac:dyDescent="0.2">
      <c r="F1432" t="str">
        <f t="shared" si="44"/>
        <v/>
      </c>
      <c r="G1432" t="str">
        <f t="shared" si="45"/>
        <v/>
      </c>
    </row>
    <row r="1433" spans="6:7" x14ac:dyDescent="0.2">
      <c r="F1433" t="str">
        <f t="shared" si="44"/>
        <v/>
      </c>
      <c r="G1433" t="str">
        <f t="shared" si="45"/>
        <v/>
      </c>
    </row>
    <row r="1434" spans="6:7" x14ac:dyDescent="0.2">
      <c r="F1434" t="str">
        <f t="shared" si="44"/>
        <v/>
      </c>
      <c r="G1434" t="str">
        <f t="shared" si="45"/>
        <v/>
      </c>
    </row>
    <row r="1435" spans="6:7" x14ac:dyDescent="0.2">
      <c r="F1435" t="str">
        <f t="shared" si="44"/>
        <v/>
      </c>
      <c r="G1435" t="str">
        <f t="shared" si="45"/>
        <v/>
      </c>
    </row>
    <row r="1436" spans="6:7" x14ac:dyDescent="0.2">
      <c r="F1436" t="str">
        <f t="shared" si="44"/>
        <v/>
      </c>
      <c r="G1436" t="str">
        <f t="shared" si="45"/>
        <v/>
      </c>
    </row>
    <row r="1437" spans="6:7" x14ac:dyDescent="0.2">
      <c r="F1437" t="str">
        <f t="shared" si="44"/>
        <v/>
      </c>
      <c r="G1437" t="str">
        <f t="shared" si="45"/>
        <v/>
      </c>
    </row>
    <row r="1438" spans="6:7" x14ac:dyDescent="0.2">
      <c r="F1438" t="str">
        <f t="shared" si="44"/>
        <v/>
      </c>
      <c r="G1438" t="str">
        <f t="shared" si="45"/>
        <v/>
      </c>
    </row>
    <row r="1439" spans="6:7" x14ac:dyDescent="0.2">
      <c r="F1439" t="str">
        <f t="shared" si="44"/>
        <v/>
      </c>
      <c r="G1439" t="str">
        <f t="shared" si="45"/>
        <v/>
      </c>
    </row>
    <row r="1440" spans="6:7" x14ac:dyDescent="0.2">
      <c r="F1440" t="str">
        <f t="shared" si="44"/>
        <v/>
      </c>
      <c r="G1440" t="str">
        <f t="shared" si="45"/>
        <v/>
      </c>
    </row>
    <row r="1441" spans="6:7" x14ac:dyDescent="0.2">
      <c r="F1441" t="str">
        <f t="shared" si="44"/>
        <v/>
      </c>
      <c r="G1441" t="str">
        <f t="shared" si="45"/>
        <v/>
      </c>
    </row>
    <row r="1442" spans="6:7" x14ac:dyDescent="0.2">
      <c r="F1442" t="str">
        <f t="shared" si="44"/>
        <v/>
      </c>
      <c r="G1442" t="str">
        <f t="shared" si="45"/>
        <v/>
      </c>
    </row>
    <row r="1443" spans="6:7" x14ac:dyDescent="0.2">
      <c r="F1443" t="str">
        <f t="shared" si="44"/>
        <v/>
      </c>
      <c r="G1443" t="str">
        <f t="shared" si="45"/>
        <v/>
      </c>
    </row>
    <row r="1444" spans="6:7" x14ac:dyDescent="0.2">
      <c r="F1444" t="str">
        <f t="shared" si="44"/>
        <v/>
      </c>
      <c r="G1444" t="str">
        <f t="shared" si="45"/>
        <v/>
      </c>
    </row>
    <row r="1445" spans="6:7" x14ac:dyDescent="0.2">
      <c r="F1445" t="str">
        <f t="shared" si="44"/>
        <v/>
      </c>
      <c r="G1445" t="str">
        <f t="shared" si="45"/>
        <v/>
      </c>
    </row>
    <row r="1446" spans="6:7" x14ac:dyDescent="0.2">
      <c r="F1446" t="str">
        <f t="shared" si="44"/>
        <v/>
      </c>
      <c r="G1446" t="str">
        <f t="shared" si="45"/>
        <v/>
      </c>
    </row>
    <row r="1447" spans="6:7" x14ac:dyDescent="0.2">
      <c r="F1447" t="str">
        <f t="shared" si="44"/>
        <v/>
      </c>
      <c r="G1447" t="str">
        <f t="shared" si="45"/>
        <v/>
      </c>
    </row>
    <row r="1448" spans="6:7" x14ac:dyDescent="0.2">
      <c r="F1448" t="str">
        <f t="shared" si="44"/>
        <v/>
      </c>
      <c r="G1448" t="str">
        <f t="shared" si="45"/>
        <v/>
      </c>
    </row>
    <row r="1449" spans="6:7" x14ac:dyDescent="0.2">
      <c r="F1449" t="str">
        <f t="shared" si="44"/>
        <v/>
      </c>
      <c r="G1449" t="str">
        <f t="shared" si="45"/>
        <v/>
      </c>
    </row>
    <row r="1450" spans="6:7" x14ac:dyDescent="0.2">
      <c r="F1450" t="str">
        <f t="shared" si="44"/>
        <v/>
      </c>
      <c r="G1450" t="str">
        <f t="shared" si="45"/>
        <v/>
      </c>
    </row>
    <row r="1451" spans="6:7" x14ac:dyDescent="0.2">
      <c r="F1451" t="str">
        <f t="shared" si="44"/>
        <v/>
      </c>
      <c r="G1451" t="str">
        <f t="shared" si="45"/>
        <v/>
      </c>
    </row>
    <row r="1452" spans="6:7" x14ac:dyDescent="0.2">
      <c r="F1452" t="str">
        <f t="shared" si="44"/>
        <v/>
      </c>
      <c r="G1452" t="str">
        <f t="shared" si="45"/>
        <v/>
      </c>
    </row>
    <row r="1453" spans="6:7" x14ac:dyDescent="0.2">
      <c r="F1453" t="str">
        <f t="shared" si="44"/>
        <v/>
      </c>
      <c r="G1453" t="str">
        <f t="shared" si="45"/>
        <v/>
      </c>
    </row>
    <row r="1454" spans="6:7" x14ac:dyDescent="0.2">
      <c r="F1454" t="str">
        <f t="shared" si="44"/>
        <v/>
      </c>
      <c r="G1454" t="str">
        <f t="shared" si="45"/>
        <v/>
      </c>
    </row>
    <row r="1455" spans="6:7" x14ac:dyDescent="0.2">
      <c r="F1455" t="str">
        <f t="shared" si="44"/>
        <v/>
      </c>
      <c r="G1455" t="str">
        <f t="shared" si="45"/>
        <v/>
      </c>
    </row>
    <row r="1456" spans="6:7" x14ac:dyDescent="0.2">
      <c r="F1456" t="str">
        <f t="shared" si="44"/>
        <v/>
      </c>
      <c r="G1456" t="str">
        <f t="shared" si="45"/>
        <v/>
      </c>
    </row>
    <row r="1457" spans="6:7" x14ac:dyDescent="0.2">
      <c r="F1457" t="str">
        <f t="shared" si="44"/>
        <v/>
      </c>
      <c r="G1457" t="str">
        <f t="shared" si="45"/>
        <v/>
      </c>
    </row>
    <row r="1458" spans="6:7" x14ac:dyDescent="0.2">
      <c r="F1458" t="str">
        <f t="shared" si="44"/>
        <v/>
      </c>
      <c r="G1458" t="str">
        <f t="shared" si="45"/>
        <v/>
      </c>
    </row>
    <row r="1459" spans="6:7" x14ac:dyDescent="0.2">
      <c r="F1459" t="str">
        <f t="shared" si="44"/>
        <v/>
      </c>
      <c r="G1459" t="str">
        <f t="shared" si="45"/>
        <v/>
      </c>
    </row>
    <row r="1460" spans="6:7" x14ac:dyDescent="0.2">
      <c r="F1460" t="str">
        <f t="shared" si="44"/>
        <v/>
      </c>
      <c r="G1460" t="str">
        <f t="shared" si="45"/>
        <v/>
      </c>
    </row>
    <row r="1461" spans="6:7" x14ac:dyDescent="0.2">
      <c r="F1461" t="str">
        <f t="shared" si="44"/>
        <v/>
      </c>
      <c r="G1461" t="str">
        <f t="shared" si="45"/>
        <v/>
      </c>
    </row>
    <row r="1462" spans="6:7" x14ac:dyDescent="0.2">
      <c r="F1462" t="str">
        <f t="shared" si="44"/>
        <v/>
      </c>
      <c r="G1462" t="str">
        <f t="shared" si="45"/>
        <v/>
      </c>
    </row>
    <row r="1463" spans="6:7" x14ac:dyDescent="0.2">
      <c r="F1463" t="str">
        <f t="shared" si="44"/>
        <v/>
      </c>
      <c r="G1463" t="str">
        <f t="shared" si="45"/>
        <v/>
      </c>
    </row>
    <row r="1464" spans="6:7" x14ac:dyDescent="0.2">
      <c r="F1464" t="str">
        <f t="shared" si="44"/>
        <v/>
      </c>
      <c r="G1464" t="str">
        <f t="shared" si="45"/>
        <v/>
      </c>
    </row>
    <row r="1465" spans="6:7" x14ac:dyDescent="0.2">
      <c r="F1465" t="str">
        <f t="shared" si="44"/>
        <v/>
      </c>
      <c r="G1465" t="str">
        <f t="shared" si="45"/>
        <v/>
      </c>
    </row>
    <row r="1466" spans="6:7" x14ac:dyDescent="0.2">
      <c r="F1466" t="str">
        <f t="shared" si="44"/>
        <v/>
      </c>
      <c r="G1466" t="str">
        <f t="shared" si="45"/>
        <v/>
      </c>
    </row>
    <row r="1467" spans="6:7" x14ac:dyDescent="0.2">
      <c r="F1467" t="str">
        <f t="shared" si="44"/>
        <v/>
      </c>
      <c r="G1467" t="str">
        <f t="shared" si="45"/>
        <v/>
      </c>
    </row>
    <row r="1468" spans="6:7" x14ac:dyDescent="0.2">
      <c r="F1468" t="str">
        <f t="shared" si="44"/>
        <v/>
      </c>
      <c r="G1468" t="str">
        <f t="shared" si="45"/>
        <v/>
      </c>
    </row>
    <row r="1469" spans="6:7" x14ac:dyDescent="0.2">
      <c r="F1469" t="str">
        <f t="shared" si="44"/>
        <v/>
      </c>
      <c r="G1469" t="str">
        <f t="shared" si="45"/>
        <v/>
      </c>
    </row>
    <row r="1470" spans="6:7" x14ac:dyDescent="0.2">
      <c r="F1470" t="str">
        <f t="shared" si="44"/>
        <v/>
      </c>
      <c r="G1470" t="str">
        <f t="shared" si="45"/>
        <v/>
      </c>
    </row>
    <row r="1471" spans="6:7" x14ac:dyDescent="0.2">
      <c r="F1471" t="str">
        <f t="shared" si="44"/>
        <v/>
      </c>
      <c r="G1471" t="str">
        <f t="shared" si="45"/>
        <v/>
      </c>
    </row>
    <row r="1472" spans="6:7" x14ac:dyDescent="0.2">
      <c r="F1472" t="str">
        <f t="shared" si="44"/>
        <v/>
      </c>
      <c r="G1472" t="str">
        <f t="shared" si="45"/>
        <v/>
      </c>
    </row>
    <row r="1473" spans="6:7" x14ac:dyDescent="0.2">
      <c r="F1473" t="str">
        <f t="shared" si="44"/>
        <v/>
      </c>
      <c r="G1473" t="str">
        <f t="shared" si="45"/>
        <v/>
      </c>
    </row>
    <row r="1474" spans="6:7" x14ac:dyDescent="0.2">
      <c r="F1474" t="str">
        <f t="shared" ref="F1474:F1537" si="46">IF(OR(D1474="",E1474=""),"",E1474-D1474)</f>
        <v/>
      </c>
      <c r="G1474" t="str">
        <f t="shared" ref="G1474:G1537" si="47">IF(F1474="","",IF(F1474&gt;0,"ANO","NE"))</f>
        <v/>
      </c>
    </row>
    <row r="1475" spans="6:7" x14ac:dyDescent="0.2">
      <c r="F1475" t="str">
        <f t="shared" si="46"/>
        <v/>
      </c>
      <c r="G1475" t="str">
        <f t="shared" si="47"/>
        <v/>
      </c>
    </row>
    <row r="1476" spans="6:7" x14ac:dyDescent="0.2">
      <c r="F1476" t="str">
        <f t="shared" si="46"/>
        <v/>
      </c>
      <c r="G1476" t="str">
        <f t="shared" si="47"/>
        <v/>
      </c>
    </row>
    <row r="1477" spans="6:7" x14ac:dyDescent="0.2">
      <c r="F1477" t="str">
        <f t="shared" si="46"/>
        <v/>
      </c>
      <c r="G1477" t="str">
        <f t="shared" si="47"/>
        <v/>
      </c>
    </row>
    <row r="1478" spans="6:7" x14ac:dyDescent="0.2">
      <c r="F1478" t="str">
        <f t="shared" si="46"/>
        <v/>
      </c>
      <c r="G1478" t="str">
        <f t="shared" si="47"/>
        <v/>
      </c>
    </row>
    <row r="1479" spans="6:7" x14ac:dyDescent="0.2">
      <c r="F1479" t="str">
        <f t="shared" si="46"/>
        <v/>
      </c>
      <c r="G1479" t="str">
        <f t="shared" si="47"/>
        <v/>
      </c>
    </row>
    <row r="1480" spans="6:7" x14ac:dyDescent="0.2">
      <c r="F1480" t="str">
        <f t="shared" si="46"/>
        <v/>
      </c>
      <c r="G1480" t="str">
        <f t="shared" si="47"/>
        <v/>
      </c>
    </row>
    <row r="1481" spans="6:7" x14ac:dyDescent="0.2">
      <c r="F1481" t="str">
        <f t="shared" si="46"/>
        <v/>
      </c>
      <c r="G1481" t="str">
        <f t="shared" si="47"/>
        <v/>
      </c>
    </row>
    <row r="1482" spans="6:7" x14ac:dyDescent="0.2">
      <c r="F1482" t="str">
        <f t="shared" si="46"/>
        <v/>
      </c>
      <c r="G1482" t="str">
        <f t="shared" si="47"/>
        <v/>
      </c>
    </row>
    <row r="1483" spans="6:7" x14ac:dyDescent="0.2">
      <c r="F1483" t="str">
        <f t="shared" si="46"/>
        <v/>
      </c>
      <c r="G1483" t="str">
        <f t="shared" si="47"/>
        <v/>
      </c>
    </row>
    <row r="1484" spans="6:7" x14ac:dyDescent="0.2">
      <c r="F1484" t="str">
        <f t="shared" si="46"/>
        <v/>
      </c>
      <c r="G1484" t="str">
        <f t="shared" si="47"/>
        <v/>
      </c>
    </row>
    <row r="1485" spans="6:7" x14ac:dyDescent="0.2">
      <c r="F1485" t="str">
        <f t="shared" si="46"/>
        <v/>
      </c>
      <c r="G1485" t="str">
        <f t="shared" si="47"/>
        <v/>
      </c>
    </row>
    <row r="1486" spans="6:7" x14ac:dyDescent="0.2">
      <c r="F1486" t="str">
        <f t="shared" si="46"/>
        <v/>
      </c>
      <c r="G1486" t="str">
        <f t="shared" si="47"/>
        <v/>
      </c>
    </row>
    <row r="1487" spans="6:7" x14ac:dyDescent="0.2">
      <c r="F1487" t="str">
        <f t="shared" si="46"/>
        <v/>
      </c>
      <c r="G1487" t="str">
        <f t="shared" si="47"/>
        <v/>
      </c>
    </row>
    <row r="1488" spans="6:7" x14ac:dyDescent="0.2">
      <c r="F1488" t="str">
        <f t="shared" si="46"/>
        <v/>
      </c>
      <c r="G1488" t="str">
        <f t="shared" si="47"/>
        <v/>
      </c>
    </row>
    <row r="1489" spans="6:7" x14ac:dyDescent="0.2">
      <c r="F1489" t="str">
        <f t="shared" si="46"/>
        <v/>
      </c>
      <c r="G1489" t="str">
        <f t="shared" si="47"/>
        <v/>
      </c>
    </row>
    <row r="1490" spans="6:7" x14ac:dyDescent="0.2">
      <c r="F1490" t="str">
        <f t="shared" si="46"/>
        <v/>
      </c>
      <c r="G1490" t="str">
        <f t="shared" si="47"/>
        <v/>
      </c>
    </row>
    <row r="1491" spans="6:7" x14ac:dyDescent="0.2">
      <c r="F1491" t="str">
        <f t="shared" si="46"/>
        <v/>
      </c>
      <c r="G1491" t="str">
        <f t="shared" si="47"/>
        <v/>
      </c>
    </row>
    <row r="1492" spans="6:7" x14ac:dyDescent="0.2">
      <c r="F1492" t="str">
        <f t="shared" si="46"/>
        <v/>
      </c>
      <c r="G1492" t="str">
        <f t="shared" si="47"/>
        <v/>
      </c>
    </row>
    <row r="1493" spans="6:7" x14ac:dyDescent="0.2">
      <c r="F1493" t="str">
        <f t="shared" si="46"/>
        <v/>
      </c>
      <c r="G1493" t="str">
        <f t="shared" si="47"/>
        <v/>
      </c>
    </row>
    <row r="1494" spans="6:7" x14ac:dyDescent="0.2">
      <c r="F1494" t="str">
        <f t="shared" si="46"/>
        <v/>
      </c>
      <c r="G1494" t="str">
        <f t="shared" si="47"/>
        <v/>
      </c>
    </row>
    <row r="1495" spans="6:7" x14ac:dyDescent="0.2">
      <c r="F1495" t="str">
        <f t="shared" si="46"/>
        <v/>
      </c>
      <c r="G1495" t="str">
        <f t="shared" si="47"/>
        <v/>
      </c>
    </row>
    <row r="1496" spans="6:7" x14ac:dyDescent="0.2">
      <c r="F1496" t="str">
        <f t="shared" si="46"/>
        <v/>
      </c>
      <c r="G1496" t="str">
        <f t="shared" si="47"/>
        <v/>
      </c>
    </row>
    <row r="1497" spans="6:7" x14ac:dyDescent="0.2">
      <c r="F1497" t="str">
        <f t="shared" si="46"/>
        <v/>
      </c>
      <c r="G1497" t="str">
        <f t="shared" si="47"/>
        <v/>
      </c>
    </row>
    <row r="1498" spans="6:7" x14ac:dyDescent="0.2">
      <c r="F1498" t="str">
        <f t="shared" si="46"/>
        <v/>
      </c>
      <c r="G1498" t="str">
        <f t="shared" si="47"/>
        <v/>
      </c>
    </row>
    <row r="1499" spans="6:7" x14ac:dyDescent="0.2">
      <c r="F1499" t="str">
        <f t="shared" si="46"/>
        <v/>
      </c>
      <c r="G1499" t="str">
        <f t="shared" si="47"/>
        <v/>
      </c>
    </row>
    <row r="1500" spans="6:7" x14ac:dyDescent="0.2">
      <c r="F1500" t="str">
        <f t="shared" si="46"/>
        <v/>
      </c>
      <c r="G1500" t="str">
        <f t="shared" si="47"/>
        <v/>
      </c>
    </row>
    <row r="1501" spans="6:7" x14ac:dyDescent="0.2">
      <c r="F1501" t="str">
        <f t="shared" si="46"/>
        <v/>
      </c>
      <c r="G1501" t="str">
        <f t="shared" si="47"/>
        <v/>
      </c>
    </row>
    <row r="1502" spans="6:7" x14ac:dyDescent="0.2">
      <c r="F1502" t="str">
        <f t="shared" si="46"/>
        <v/>
      </c>
      <c r="G1502" t="str">
        <f t="shared" si="47"/>
        <v/>
      </c>
    </row>
    <row r="1503" spans="6:7" x14ac:dyDescent="0.2">
      <c r="F1503" t="str">
        <f t="shared" si="46"/>
        <v/>
      </c>
      <c r="G1503" t="str">
        <f t="shared" si="47"/>
        <v/>
      </c>
    </row>
    <row r="1504" spans="6:7" x14ac:dyDescent="0.2">
      <c r="F1504" t="str">
        <f t="shared" si="46"/>
        <v/>
      </c>
      <c r="G1504" t="str">
        <f t="shared" si="47"/>
        <v/>
      </c>
    </row>
    <row r="1505" spans="6:7" x14ac:dyDescent="0.2">
      <c r="F1505" t="str">
        <f t="shared" si="46"/>
        <v/>
      </c>
      <c r="G1505" t="str">
        <f t="shared" si="47"/>
        <v/>
      </c>
    </row>
    <row r="1506" spans="6:7" x14ac:dyDescent="0.2">
      <c r="F1506" t="str">
        <f t="shared" si="46"/>
        <v/>
      </c>
      <c r="G1506" t="str">
        <f t="shared" si="47"/>
        <v/>
      </c>
    </row>
    <row r="1507" spans="6:7" x14ac:dyDescent="0.2">
      <c r="F1507" t="str">
        <f t="shared" si="46"/>
        <v/>
      </c>
      <c r="G1507" t="str">
        <f t="shared" si="47"/>
        <v/>
      </c>
    </row>
    <row r="1508" spans="6:7" x14ac:dyDescent="0.2">
      <c r="F1508" t="str">
        <f t="shared" si="46"/>
        <v/>
      </c>
      <c r="G1508" t="str">
        <f t="shared" si="47"/>
        <v/>
      </c>
    </row>
    <row r="1509" spans="6:7" x14ac:dyDescent="0.2">
      <c r="F1509" t="str">
        <f t="shared" si="46"/>
        <v/>
      </c>
      <c r="G1509" t="str">
        <f t="shared" si="47"/>
        <v/>
      </c>
    </row>
    <row r="1510" spans="6:7" x14ac:dyDescent="0.2">
      <c r="F1510" t="str">
        <f t="shared" si="46"/>
        <v/>
      </c>
      <c r="G1510" t="str">
        <f t="shared" si="47"/>
        <v/>
      </c>
    </row>
    <row r="1511" spans="6:7" x14ac:dyDescent="0.2">
      <c r="F1511" t="str">
        <f t="shared" si="46"/>
        <v/>
      </c>
      <c r="G1511" t="str">
        <f t="shared" si="47"/>
        <v/>
      </c>
    </row>
    <row r="1512" spans="6:7" x14ac:dyDescent="0.2">
      <c r="F1512" t="str">
        <f t="shared" si="46"/>
        <v/>
      </c>
      <c r="G1512" t="str">
        <f t="shared" si="47"/>
        <v/>
      </c>
    </row>
    <row r="1513" spans="6:7" x14ac:dyDescent="0.2">
      <c r="F1513" t="str">
        <f t="shared" si="46"/>
        <v/>
      </c>
      <c r="G1513" t="str">
        <f t="shared" si="47"/>
        <v/>
      </c>
    </row>
    <row r="1514" spans="6:7" x14ac:dyDescent="0.2">
      <c r="F1514" t="str">
        <f t="shared" si="46"/>
        <v/>
      </c>
      <c r="G1514" t="str">
        <f t="shared" si="47"/>
        <v/>
      </c>
    </row>
    <row r="1515" spans="6:7" x14ac:dyDescent="0.2">
      <c r="F1515" t="str">
        <f t="shared" si="46"/>
        <v/>
      </c>
      <c r="G1515" t="str">
        <f t="shared" si="47"/>
        <v/>
      </c>
    </row>
    <row r="1516" spans="6:7" x14ac:dyDescent="0.2">
      <c r="F1516" t="str">
        <f t="shared" si="46"/>
        <v/>
      </c>
      <c r="G1516" t="str">
        <f t="shared" si="47"/>
        <v/>
      </c>
    </row>
    <row r="1517" spans="6:7" x14ac:dyDescent="0.2">
      <c r="F1517" t="str">
        <f t="shared" si="46"/>
        <v/>
      </c>
      <c r="G1517" t="str">
        <f t="shared" si="47"/>
        <v/>
      </c>
    </row>
    <row r="1518" spans="6:7" x14ac:dyDescent="0.2">
      <c r="F1518" t="str">
        <f t="shared" si="46"/>
        <v/>
      </c>
      <c r="G1518" t="str">
        <f t="shared" si="47"/>
        <v/>
      </c>
    </row>
    <row r="1519" spans="6:7" x14ac:dyDescent="0.2">
      <c r="F1519" t="str">
        <f t="shared" si="46"/>
        <v/>
      </c>
      <c r="G1519" t="str">
        <f t="shared" si="47"/>
        <v/>
      </c>
    </row>
    <row r="1520" spans="6:7" x14ac:dyDescent="0.2">
      <c r="F1520" t="str">
        <f t="shared" si="46"/>
        <v/>
      </c>
      <c r="G1520" t="str">
        <f t="shared" si="47"/>
        <v/>
      </c>
    </row>
    <row r="1521" spans="6:7" x14ac:dyDescent="0.2">
      <c r="F1521" t="str">
        <f t="shared" si="46"/>
        <v/>
      </c>
      <c r="G1521" t="str">
        <f t="shared" si="47"/>
        <v/>
      </c>
    </row>
    <row r="1522" spans="6:7" x14ac:dyDescent="0.2">
      <c r="F1522" t="str">
        <f t="shared" si="46"/>
        <v/>
      </c>
      <c r="G1522" t="str">
        <f t="shared" si="47"/>
        <v/>
      </c>
    </row>
    <row r="1523" spans="6:7" x14ac:dyDescent="0.2">
      <c r="F1523" t="str">
        <f t="shared" si="46"/>
        <v/>
      </c>
      <c r="G1523" t="str">
        <f t="shared" si="47"/>
        <v/>
      </c>
    </row>
    <row r="1524" spans="6:7" x14ac:dyDescent="0.2">
      <c r="F1524" t="str">
        <f t="shared" si="46"/>
        <v/>
      </c>
      <c r="G1524" t="str">
        <f t="shared" si="47"/>
        <v/>
      </c>
    </row>
    <row r="1525" spans="6:7" x14ac:dyDescent="0.2">
      <c r="F1525" t="str">
        <f t="shared" si="46"/>
        <v/>
      </c>
      <c r="G1525" t="str">
        <f t="shared" si="47"/>
        <v/>
      </c>
    </row>
    <row r="1526" spans="6:7" x14ac:dyDescent="0.2">
      <c r="F1526" t="str">
        <f t="shared" si="46"/>
        <v/>
      </c>
      <c r="G1526" t="str">
        <f t="shared" si="47"/>
        <v/>
      </c>
    </row>
    <row r="1527" spans="6:7" x14ac:dyDescent="0.2">
      <c r="F1527" t="str">
        <f t="shared" si="46"/>
        <v/>
      </c>
      <c r="G1527" t="str">
        <f t="shared" si="47"/>
        <v/>
      </c>
    </row>
    <row r="1528" spans="6:7" x14ac:dyDescent="0.2">
      <c r="F1528" t="str">
        <f t="shared" si="46"/>
        <v/>
      </c>
      <c r="G1528" t="str">
        <f t="shared" si="47"/>
        <v/>
      </c>
    </row>
    <row r="1529" spans="6:7" x14ac:dyDescent="0.2">
      <c r="F1529" t="str">
        <f t="shared" si="46"/>
        <v/>
      </c>
      <c r="G1529" t="str">
        <f t="shared" si="47"/>
        <v/>
      </c>
    </row>
    <row r="1530" spans="6:7" x14ac:dyDescent="0.2">
      <c r="F1530" t="str">
        <f t="shared" si="46"/>
        <v/>
      </c>
      <c r="G1530" t="str">
        <f t="shared" si="47"/>
        <v/>
      </c>
    </row>
    <row r="1531" spans="6:7" x14ac:dyDescent="0.2">
      <c r="F1531" t="str">
        <f t="shared" si="46"/>
        <v/>
      </c>
      <c r="G1531" t="str">
        <f t="shared" si="47"/>
        <v/>
      </c>
    </row>
    <row r="1532" spans="6:7" x14ac:dyDescent="0.2">
      <c r="F1532" t="str">
        <f t="shared" si="46"/>
        <v/>
      </c>
      <c r="G1532" t="str">
        <f t="shared" si="47"/>
        <v/>
      </c>
    </row>
    <row r="1533" spans="6:7" x14ac:dyDescent="0.2">
      <c r="F1533" t="str">
        <f t="shared" si="46"/>
        <v/>
      </c>
      <c r="G1533" t="str">
        <f t="shared" si="47"/>
        <v/>
      </c>
    </row>
    <row r="1534" spans="6:7" x14ac:dyDescent="0.2">
      <c r="F1534" t="str">
        <f t="shared" si="46"/>
        <v/>
      </c>
      <c r="G1534" t="str">
        <f t="shared" si="47"/>
        <v/>
      </c>
    </row>
    <row r="1535" spans="6:7" x14ac:dyDescent="0.2">
      <c r="F1535" t="str">
        <f t="shared" si="46"/>
        <v/>
      </c>
      <c r="G1535" t="str">
        <f t="shared" si="47"/>
        <v/>
      </c>
    </row>
    <row r="1536" spans="6:7" x14ac:dyDescent="0.2">
      <c r="F1536" t="str">
        <f t="shared" si="46"/>
        <v/>
      </c>
      <c r="G1536" t="str">
        <f t="shared" si="47"/>
        <v/>
      </c>
    </row>
    <row r="1537" spans="6:7" x14ac:dyDescent="0.2">
      <c r="F1537" t="str">
        <f t="shared" si="46"/>
        <v/>
      </c>
      <c r="G1537" t="str">
        <f t="shared" si="47"/>
        <v/>
      </c>
    </row>
    <row r="1538" spans="6:7" x14ac:dyDescent="0.2">
      <c r="F1538" t="str">
        <f t="shared" ref="F1538:F1601" si="48">IF(OR(D1538="",E1538=""),"",E1538-D1538)</f>
        <v/>
      </c>
      <c r="G1538" t="str">
        <f t="shared" ref="G1538:G1601" si="49">IF(F1538="","",IF(F1538&gt;0,"ANO","NE"))</f>
        <v/>
      </c>
    </row>
    <row r="1539" spans="6:7" x14ac:dyDescent="0.2">
      <c r="F1539" t="str">
        <f t="shared" si="48"/>
        <v/>
      </c>
      <c r="G1539" t="str">
        <f t="shared" si="49"/>
        <v/>
      </c>
    </row>
    <row r="1540" spans="6:7" x14ac:dyDescent="0.2">
      <c r="F1540" t="str">
        <f t="shared" si="48"/>
        <v/>
      </c>
      <c r="G1540" t="str">
        <f t="shared" si="49"/>
        <v/>
      </c>
    </row>
    <row r="1541" spans="6:7" x14ac:dyDescent="0.2">
      <c r="F1541" t="str">
        <f t="shared" si="48"/>
        <v/>
      </c>
      <c r="G1541" t="str">
        <f t="shared" si="49"/>
        <v/>
      </c>
    </row>
    <row r="1542" spans="6:7" x14ac:dyDescent="0.2">
      <c r="F1542" t="str">
        <f t="shared" si="48"/>
        <v/>
      </c>
      <c r="G1542" t="str">
        <f t="shared" si="49"/>
        <v/>
      </c>
    </row>
    <row r="1543" spans="6:7" x14ac:dyDescent="0.2">
      <c r="F1543" t="str">
        <f t="shared" si="48"/>
        <v/>
      </c>
      <c r="G1543" t="str">
        <f t="shared" si="49"/>
        <v/>
      </c>
    </row>
    <row r="1544" spans="6:7" x14ac:dyDescent="0.2">
      <c r="F1544" t="str">
        <f t="shared" si="48"/>
        <v/>
      </c>
      <c r="G1544" t="str">
        <f t="shared" si="49"/>
        <v/>
      </c>
    </row>
    <row r="1545" spans="6:7" x14ac:dyDescent="0.2">
      <c r="F1545" t="str">
        <f t="shared" si="48"/>
        <v/>
      </c>
      <c r="G1545" t="str">
        <f t="shared" si="49"/>
        <v/>
      </c>
    </row>
    <row r="1546" spans="6:7" x14ac:dyDescent="0.2">
      <c r="F1546" t="str">
        <f t="shared" si="48"/>
        <v/>
      </c>
      <c r="G1546" t="str">
        <f t="shared" si="49"/>
        <v/>
      </c>
    </row>
    <row r="1547" spans="6:7" x14ac:dyDescent="0.2">
      <c r="F1547" t="str">
        <f t="shared" si="48"/>
        <v/>
      </c>
      <c r="G1547" t="str">
        <f t="shared" si="49"/>
        <v/>
      </c>
    </row>
    <row r="1548" spans="6:7" x14ac:dyDescent="0.2">
      <c r="F1548" t="str">
        <f t="shared" si="48"/>
        <v/>
      </c>
      <c r="G1548" t="str">
        <f t="shared" si="49"/>
        <v/>
      </c>
    </row>
    <row r="1549" spans="6:7" x14ac:dyDescent="0.2">
      <c r="F1549" t="str">
        <f t="shared" si="48"/>
        <v/>
      </c>
      <c r="G1549" t="str">
        <f t="shared" si="49"/>
        <v/>
      </c>
    </row>
    <row r="1550" spans="6:7" x14ac:dyDescent="0.2">
      <c r="F1550" t="str">
        <f t="shared" si="48"/>
        <v/>
      </c>
      <c r="G1550" t="str">
        <f t="shared" si="49"/>
        <v/>
      </c>
    </row>
    <row r="1551" spans="6:7" x14ac:dyDescent="0.2">
      <c r="F1551" t="str">
        <f t="shared" si="48"/>
        <v/>
      </c>
      <c r="G1551" t="str">
        <f t="shared" si="49"/>
        <v/>
      </c>
    </row>
    <row r="1552" spans="6:7" x14ac:dyDescent="0.2">
      <c r="F1552" t="str">
        <f t="shared" si="48"/>
        <v/>
      </c>
      <c r="G1552" t="str">
        <f t="shared" si="49"/>
        <v/>
      </c>
    </row>
    <row r="1553" spans="6:7" x14ac:dyDescent="0.2">
      <c r="F1553" t="str">
        <f t="shared" si="48"/>
        <v/>
      </c>
      <c r="G1553" t="str">
        <f t="shared" si="49"/>
        <v/>
      </c>
    </row>
    <row r="1554" spans="6:7" x14ac:dyDescent="0.2">
      <c r="F1554" t="str">
        <f t="shared" si="48"/>
        <v/>
      </c>
      <c r="G1554" t="str">
        <f t="shared" si="49"/>
        <v/>
      </c>
    </row>
    <row r="1555" spans="6:7" x14ac:dyDescent="0.2">
      <c r="F1555" t="str">
        <f t="shared" si="48"/>
        <v/>
      </c>
      <c r="G1555" t="str">
        <f t="shared" si="49"/>
        <v/>
      </c>
    </row>
    <row r="1556" spans="6:7" x14ac:dyDescent="0.2">
      <c r="F1556" t="str">
        <f t="shared" si="48"/>
        <v/>
      </c>
      <c r="G1556" t="str">
        <f t="shared" si="49"/>
        <v/>
      </c>
    </row>
    <row r="1557" spans="6:7" x14ac:dyDescent="0.2">
      <c r="F1557" t="str">
        <f t="shared" si="48"/>
        <v/>
      </c>
      <c r="G1557" t="str">
        <f t="shared" si="49"/>
        <v/>
      </c>
    </row>
    <row r="1558" spans="6:7" x14ac:dyDescent="0.2">
      <c r="F1558" t="str">
        <f t="shared" si="48"/>
        <v/>
      </c>
      <c r="G1558" t="str">
        <f t="shared" si="49"/>
        <v/>
      </c>
    </row>
    <row r="1559" spans="6:7" x14ac:dyDescent="0.2">
      <c r="F1559" t="str">
        <f t="shared" si="48"/>
        <v/>
      </c>
      <c r="G1559" t="str">
        <f t="shared" si="49"/>
        <v/>
      </c>
    </row>
    <row r="1560" spans="6:7" x14ac:dyDescent="0.2">
      <c r="F1560" t="str">
        <f t="shared" si="48"/>
        <v/>
      </c>
      <c r="G1560" t="str">
        <f t="shared" si="49"/>
        <v/>
      </c>
    </row>
    <row r="1561" spans="6:7" x14ac:dyDescent="0.2">
      <c r="F1561" t="str">
        <f t="shared" si="48"/>
        <v/>
      </c>
      <c r="G1561" t="str">
        <f t="shared" si="49"/>
        <v/>
      </c>
    </row>
    <row r="1562" spans="6:7" x14ac:dyDescent="0.2">
      <c r="F1562" t="str">
        <f t="shared" si="48"/>
        <v/>
      </c>
      <c r="G1562" t="str">
        <f t="shared" si="49"/>
        <v/>
      </c>
    </row>
    <row r="1563" spans="6:7" x14ac:dyDescent="0.2">
      <c r="F1563" t="str">
        <f t="shared" si="48"/>
        <v/>
      </c>
      <c r="G1563" t="str">
        <f t="shared" si="49"/>
        <v/>
      </c>
    </row>
    <row r="1564" spans="6:7" x14ac:dyDescent="0.2">
      <c r="F1564" t="str">
        <f t="shared" si="48"/>
        <v/>
      </c>
      <c r="G1564" t="str">
        <f t="shared" si="49"/>
        <v/>
      </c>
    </row>
    <row r="1565" spans="6:7" x14ac:dyDescent="0.2">
      <c r="F1565" t="str">
        <f t="shared" si="48"/>
        <v/>
      </c>
      <c r="G1565" t="str">
        <f t="shared" si="49"/>
        <v/>
      </c>
    </row>
    <row r="1566" spans="6:7" x14ac:dyDescent="0.2">
      <c r="F1566" t="str">
        <f t="shared" si="48"/>
        <v/>
      </c>
      <c r="G1566" t="str">
        <f t="shared" si="49"/>
        <v/>
      </c>
    </row>
    <row r="1567" spans="6:7" x14ac:dyDescent="0.2">
      <c r="F1567" t="str">
        <f t="shared" si="48"/>
        <v/>
      </c>
      <c r="G1567" t="str">
        <f t="shared" si="49"/>
        <v/>
      </c>
    </row>
    <row r="1568" spans="6:7" x14ac:dyDescent="0.2">
      <c r="F1568" t="str">
        <f t="shared" si="48"/>
        <v/>
      </c>
      <c r="G1568" t="str">
        <f t="shared" si="49"/>
        <v/>
      </c>
    </row>
    <row r="1569" spans="6:7" x14ac:dyDescent="0.2">
      <c r="F1569" t="str">
        <f t="shared" si="48"/>
        <v/>
      </c>
      <c r="G1569" t="str">
        <f t="shared" si="49"/>
        <v/>
      </c>
    </row>
    <row r="1570" spans="6:7" x14ac:dyDescent="0.2">
      <c r="F1570" t="str">
        <f t="shared" si="48"/>
        <v/>
      </c>
      <c r="G1570" t="str">
        <f t="shared" si="49"/>
        <v/>
      </c>
    </row>
    <row r="1571" spans="6:7" x14ac:dyDescent="0.2">
      <c r="F1571" t="str">
        <f t="shared" si="48"/>
        <v/>
      </c>
      <c r="G1571" t="str">
        <f t="shared" si="49"/>
        <v/>
      </c>
    </row>
    <row r="1572" spans="6:7" x14ac:dyDescent="0.2">
      <c r="F1572" t="str">
        <f t="shared" si="48"/>
        <v/>
      </c>
      <c r="G1572" t="str">
        <f t="shared" si="49"/>
        <v/>
      </c>
    </row>
    <row r="1573" spans="6:7" x14ac:dyDescent="0.2">
      <c r="F1573" t="str">
        <f t="shared" si="48"/>
        <v/>
      </c>
      <c r="G1573" t="str">
        <f t="shared" si="49"/>
        <v/>
      </c>
    </row>
    <row r="1574" spans="6:7" x14ac:dyDescent="0.2">
      <c r="F1574" t="str">
        <f t="shared" si="48"/>
        <v/>
      </c>
      <c r="G1574" t="str">
        <f t="shared" si="49"/>
        <v/>
      </c>
    </row>
    <row r="1575" spans="6:7" x14ac:dyDescent="0.2">
      <c r="F1575" t="str">
        <f t="shared" si="48"/>
        <v/>
      </c>
      <c r="G1575" t="str">
        <f t="shared" si="49"/>
        <v/>
      </c>
    </row>
    <row r="1576" spans="6:7" x14ac:dyDescent="0.2">
      <c r="F1576" t="str">
        <f t="shared" si="48"/>
        <v/>
      </c>
      <c r="G1576" t="str">
        <f t="shared" si="49"/>
        <v/>
      </c>
    </row>
    <row r="1577" spans="6:7" x14ac:dyDescent="0.2">
      <c r="F1577" t="str">
        <f t="shared" si="48"/>
        <v/>
      </c>
      <c r="G1577" t="str">
        <f t="shared" si="49"/>
        <v/>
      </c>
    </row>
    <row r="1578" spans="6:7" x14ac:dyDescent="0.2">
      <c r="F1578" t="str">
        <f t="shared" si="48"/>
        <v/>
      </c>
      <c r="G1578" t="str">
        <f t="shared" si="49"/>
        <v/>
      </c>
    </row>
    <row r="1579" spans="6:7" x14ac:dyDescent="0.2">
      <c r="F1579" t="str">
        <f t="shared" si="48"/>
        <v/>
      </c>
      <c r="G1579" t="str">
        <f t="shared" si="49"/>
        <v/>
      </c>
    </row>
    <row r="1580" spans="6:7" x14ac:dyDescent="0.2">
      <c r="F1580" t="str">
        <f t="shared" si="48"/>
        <v/>
      </c>
      <c r="G1580" t="str">
        <f t="shared" si="49"/>
        <v/>
      </c>
    </row>
    <row r="1581" spans="6:7" x14ac:dyDescent="0.2">
      <c r="F1581" t="str">
        <f t="shared" si="48"/>
        <v/>
      </c>
      <c r="G1581" t="str">
        <f t="shared" si="49"/>
        <v/>
      </c>
    </row>
    <row r="1582" spans="6:7" x14ac:dyDescent="0.2">
      <c r="F1582" t="str">
        <f t="shared" si="48"/>
        <v/>
      </c>
      <c r="G1582" t="str">
        <f t="shared" si="49"/>
        <v/>
      </c>
    </row>
    <row r="1583" spans="6:7" x14ac:dyDescent="0.2">
      <c r="F1583" t="str">
        <f t="shared" si="48"/>
        <v/>
      </c>
      <c r="G1583" t="str">
        <f t="shared" si="49"/>
        <v/>
      </c>
    </row>
    <row r="1584" spans="6:7" x14ac:dyDescent="0.2">
      <c r="F1584" t="str">
        <f t="shared" si="48"/>
        <v/>
      </c>
      <c r="G1584" t="str">
        <f t="shared" si="49"/>
        <v/>
      </c>
    </row>
    <row r="1585" spans="6:7" x14ac:dyDescent="0.2">
      <c r="F1585" t="str">
        <f t="shared" si="48"/>
        <v/>
      </c>
      <c r="G1585" t="str">
        <f t="shared" si="49"/>
        <v/>
      </c>
    </row>
    <row r="1586" spans="6:7" x14ac:dyDescent="0.2">
      <c r="F1586" t="str">
        <f t="shared" si="48"/>
        <v/>
      </c>
      <c r="G1586" t="str">
        <f t="shared" si="49"/>
        <v/>
      </c>
    </row>
    <row r="1587" spans="6:7" x14ac:dyDescent="0.2">
      <c r="F1587" t="str">
        <f t="shared" si="48"/>
        <v/>
      </c>
      <c r="G1587" t="str">
        <f t="shared" si="49"/>
        <v/>
      </c>
    </row>
    <row r="1588" spans="6:7" x14ac:dyDescent="0.2">
      <c r="F1588" t="str">
        <f t="shared" si="48"/>
        <v/>
      </c>
      <c r="G1588" t="str">
        <f t="shared" si="49"/>
        <v/>
      </c>
    </row>
    <row r="1589" spans="6:7" x14ac:dyDescent="0.2">
      <c r="F1589" t="str">
        <f t="shared" si="48"/>
        <v/>
      </c>
      <c r="G1589" t="str">
        <f t="shared" si="49"/>
        <v/>
      </c>
    </row>
    <row r="1590" spans="6:7" x14ac:dyDescent="0.2">
      <c r="F1590" t="str">
        <f t="shared" si="48"/>
        <v/>
      </c>
      <c r="G1590" t="str">
        <f t="shared" si="49"/>
        <v/>
      </c>
    </row>
    <row r="1591" spans="6:7" x14ac:dyDescent="0.2">
      <c r="F1591" t="str">
        <f t="shared" si="48"/>
        <v/>
      </c>
      <c r="G1591" t="str">
        <f t="shared" si="49"/>
        <v/>
      </c>
    </row>
    <row r="1592" spans="6:7" x14ac:dyDescent="0.2">
      <c r="F1592" t="str">
        <f t="shared" si="48"/>
        <v/>
      </c>
      <c r="G1592" t="str">
        <f t="shared" si="49"/>
        <v/>
      </c>
    </row>
    <row r="1593" spans="6:7" x14ac:dyDescent="0.2">
      <c r="F1593" t="str">
        <f t="shared" si="48"/>
        <v/>
      </c>
      <c r="G1593" t="str">
        <f t="shared" si="49"/>
        <v/>
      </c>
    </row>
    <row r="1594" spans="6:7" x14ac:dyDescent="0.2">
      <c r="F1594" t="str">
        <f t="shared" si="48"/>
        <v/>
      </c>
      <c r="G1594" t="str">
        <f t="shared" si="49"/>
        <v/>
      </c>
    </row>
    <row r="1595" spans="6:7" x14ac:dyDescent="0.2">
      <c r="F1595" t="str">
        <f t="shared" si="48"/>
        <v/>
      </c>
      <c r="G1595" t="str">
        <f t="shared" si="49"/>
        <v/>
      </c>
    </row>
    <row r="1596" spans="6:7" x14ac:dyDescent="0.2">
      <c r="F1596" t="str">
        <f t="shared" si="48"/>
        <v/>
      </c>
      <c r="G1596" t="str">
        <f t="shared" si="49"/>
        <v/>
      </c>
    </row>
    <row r="1597" spans="6:7" x14ac:dyDescent="0.2">
      <c r="F1597" t="str">
        <f t="shared" si="48"/>
        <v/>
      </c>
      <c r="G1597" t="str">
        <f t="shared" si="49"/>
        <v/>
      </c>
    </row>
    <row r="1598" spans="6:7" x14ac:dyDescent="0.2">
      <c r="F1598" t="str">
        <f t="shared" si="48"/>
        <v/>
      </c>
      <c r="G1598" t="str">
        <f t="shared" si="49"/>
        <v/>
      </c>
    </row>
    <row r="1599" spans="6:7" x14ac:dyDescent="0.2">
      <c r="F1599" t="str">
        <f t="shared" si="48"/>
        <v/>
      </c>
      <c r="G1599" t="str">
        <f t="shared" si="49"/>
        <v/>
      </c>
    </row>
    <row r="1600" spans="6:7" x14ac:dyDescent="0.2">
      <c r="F1600" t="str">
        <f t="shared" si="48"/>
        <v/>
      </c>
      <c r="G1600" t="str">
        <f t="shared" si="49"/>
        <v/>
      </c>
    </row>
    <row r="1601" spans="6:7" x14ac:dyDescent="0.2">
      <c r="F1601" t="str">
        <f t="shared" si="48"/>
        <v/>
      </c>
      <c r="G1601" t="str">
        <f t="shared" si="49"/>
        <v/>
      </c>
    </row>
    <row r="1602" spans="6:7" x14ac:dyDescent="0.2">
      <c r="F1602" t="str">
        <f t="shared" ref="F1602:F1665" si="50">IF(OR(D1602="",E1602=""),"",E1602-D1602)</f>
        <v/>
      </c>
      <c r="G1602" t="str">
        <f t="shared" ref="G1602:G1665" si="51">IF(F1602="","",IF(F1602&gt;0,"ANO","NE"))</f>
        <v/>
      </c>
    </row>
    <row r="1603" spans="6:7" x14ac:dyDescent="0.2">
      <c r="F1603" t="str">
        <f t="shared" si="50"/>
        <v/>
      </c>
      <c r="G1603" t="str">
        <f t="shared" si="51"/>
        <v/>
      </c>
    </row>
    <row r="1604" spans="6:7" x14ac:dyDescent="0.2">
      <c r="F1604" t="str">
        <f t="shared" si="50"/>
        <v/>
      </c>
      <c r="G1604" t="str">
        <f t="shared" si="51"/>
        <v/>
      </c>
    </row>
    <row r="1605" spans="6:7" x14ac:dyDescent="0.2">
      <c r="F1605" t="str">
        <f t="shared" si="50"/>
        <v/>
      </c>
      <c r="G1605" t="str">
        <f t="shared" si="51"/>
        <v/>
      </c>
    </row>
    <row r="1606" spans="6:7" x14ac:dyDescent="0.2">
      <c r="F1606" t="str">
        <f t="shared" si="50"/>
        <v/>
      </c>
      <c r="G1606" t="str">
        <f t="shared" si="51"/>
        <v/>
      </c>
    </row>
    <row r="1607" spans="6:7" x14ac:dyDescent="0.2">
      <c r="F1607" t="str">
        <f t="shared" si="50"/>
        <v/>
      </c>
      <c r="G1607" t="str">
        <f t="shared" si="51"/>
        <v/>
      </c>
    </row>
    <row r="1608" spans="6:7" x14ac:dyDescent="0.2">
      <c r="F1608" t="str">
        <f t="shared" si="50"/>
        <v/>
      </c>
      <c r="G1608" t="str">
        <f t="shared" si="51"/>
        <v/>
      </c>
    </row>
    <row r="1609" spans="6:7" x14ac:dyDescent="0.2">
      <c r="F1609" t="str">
        <f t="shared" si="50"/>
        <v/>
      </c>
      <c r="G1609" t="str">
        <f t="shared" si="51"/>
        <v/>
      </c>
    </row>
    <row r="1610" spans="6:7" x14ac:dyDescent="0.2">
      <c r="F1610" t="str">
        <f t="shared" si="50"/>
        <v/>
      </c>
      <c r="G1610" t="str">
        <f t="shared" si="51"/>
        <v/>
      </c>
    </row>
    <row r="1611" spans="6:7" x14ac:dyDescent="0.2">
      <c r="F1611" t="str">
        <f t="shared" si="50"/>
        <v/>
      </c>
      <c r="G1611" t="str">
        <f t="shared" si="51"/>
        <v/>
      </c>
    </row>
    <row r="1612" spans="6:7" x14ac:dyDescent="0.2">
      <c r="F1612" t="str">
        <f t="shared" si="50"/>
        <v/>
      </c>
      <c r="G1612" t="str">
        <f t="shared" si="51"/>
        <v/>
      </c>
    </row>
    <row r="1613" spans="6:7" x14ac:dyDescent="0.2">
      <c r="F1613" t="str">
        <f t="shared" si="50"/>
        <v/>
      </c>
      <c r="G1613" t="str">
        <f t="shared" si="51"/>
        <v/>
      </c>
    </row>
    <row r="1614" spans="6:7" x14ac:dyDescent="0.2">
      <c r="F1614" t="str">
        <f t="shared" si="50"/>
        <v/>
      </c>
      <c r="G1614" t="str">
        <f t="shared" si="51"/>
        <v/>
      </c>
    </row>
    <row r="1615" spans="6:7" x14ac:dyDescent="0.2">
      <c r="F1615" t="str">
        <f t="shared" si="50"/>
        <v/>
      </c>
      <c r="G1615" t="str">
        <f t="shared" si="51"/>
        <v/>
      </c>
    </row>
    <row r="1616" spans="6:7" x14ac:dyDescent="0.2">
      <c r="F1616" t="str">
        <f t="shared" si="50"/>
        <v/>
      </c>
      <c r="G1616" t="str">
        <f t="shared" si="51"/>
        <v/>
      </c>
    </row>
    <row r="1617" spans="6:7" x14ac:dyDescent="0.2">
      <c r="F1617" t="str">
        <f t="shared" si="50"/>
        <v/>
      </c>
      <c r="G1617" t="str">
        <f t="shared" si="51"/>
        <v/>
      </c>
    </row>
    <row r="1618" spans="6:7" x14ac:dyDescent="0.2">
      <c r="F1618" t="str">
        <f t="shared" si="50"/>
        <v/>
      </c>
      <c r="G1618" t="str">
        <f t="shared" si="51"/>
        <v/>
      </c>
    </row>
    <row r="1619" spans="6:7" x14ac:dyDescent="0.2">
      <c r="F1619" t="str">
        <f t="shared" si="50"/>
        <v/>
      </c>
      <c r="G1619" t="str">
        <f t="shared" si="51"/>
        <v/>
      </c>
    </row>
    <row r="1620" spans="6:7" x14ac:dyDescent="0.2">
      <c r="F1620" t="str">
        <f t="shared" si="50"/>
        <v/>
      </c>
      <c r="G1620" t="str">
        <f t="shared" si="51"/>
        <v/>
      </c>
    </row>
    <row r="1621" spans="6:7" x14ac:dyDescent="0.2">
      <c r="F1621" t="str">
        <f t="shared" si="50"/>
        <v/>
      </c>
      <c r="G1621" t="str">
        <f t="shared" si="51"/>
        <v/>
      </c>
    </row>
    <row r="1622" spans="6:7" x14ac:dyDescent="0.2">
      <c r="F1622" t="str">
        <f t="shared" si="50"/>
        <v/>
      </c>
      <c r="G1622" t="str">
        <f t="shared" si="51"/>
        <v/>
      </c>
    </row>
    <row r="1623" spans="6:7" x14ac:dyDescent="0.2">
      <c r="F1623" t="str">
        <f t="shared" si="50"/>
        <v/>
      </c>
      <c r="G1623" t="str">
        <f t="shared" si="51"/>
        <v/>
      </c>
    </row>
    <row r="1624" spans="6:7" x14ac:dyDescent="0.2">
      <c r="F1624" t="str">
        <f t="shared" si="50"/>
        <v/>
      </c>
      <c r="G1624" t="str">
        <f t="shared" si="51"/>
        <v/>
      </c>
    </row>
    <row r="1625" spans="6:7" x14ac:dyDescent="0.2">
      <c r="F1625" t="str">
        <f t="shared" si="50"/>
        <v/>
      </c>
      <c r="G1625" t="str">
        <f t="shared" si="51"/>
        <v/>
      </c>
    </row>
    <row r="1626" spans="6:7" x14ac:dyDescent="0.2">
      <c r="F1626" t="str">
        <f t="shared" si="50"/>
        <v/>
      </c>
      <c r="G1626" t="str">
        <f t="shared" si="51"/>
        <v/>
      </c>
    </row>
    <row r="1627" spans="6:7" x14ac:dyDescent="0.2">
      <c r="F1627" t="str">
        <f t="shared" si="50"/>
        <v/>
      </c>
      <c r="G1627" t="str">
        <f t="shared" si="51"/>
        <v/>
      </c>
    </row>
    <row r="1628" spans="6:7" x14ac:dyDescent="0.2">
      <c r="F1628" t="str">
        <f t="shared" si="50"/>
        <v/>
      </c>
      <c r="G1628" t="str">
        <f t="shared" si="51"/>
        <v/>
      </c>
    </row>
    <row r="1629" spans="6:7" x14ac:dyDescent="0.2">
      <c r="F1629" t="str">
        <f t="shared" si="50"/>
        <v/>
      </c>
      <c r="G1629" t="str">
        <f t="shared" si="51"/>
        <v/>
      </c>
    </row>
    <row r="1630" spans="6:7" x14ac:dyDescent="0.2">
      <c r="F1630" t="str">
        <f t="shared" si="50"/>
        <v/>
      </c>
      <c r="G1630" t="str">
        <f t="shared" si="51"/>
        <v/>
      </c>
    </row>
    <row r="1631" spans="6:7" x14ac:dyDescent="0.2">
      <c r="F1631" t="str">
        <f t="shared" si="50"/>
        <v/>
      </c>
      <c r="G1631" t="str">
        <f t="shared" si="51"/>
        <v/>
      </c>
    </row>
    <row r="1632" spans="6:7" x14ac:dyDescent="0.2">
      <c r="F1632" t="str">
        <f t="shared" si="50"/>
        <v/>
      </c>
      <c r="G1632" t="str">
        <f t="shared" si="51"/>
        <v/>
      </c>
    </row>
    <row r="1633" spans="6:7" x14ac:dyDescent="0.2">
      <c r="F1633" t="str">
        <f t="shared" si="50"/>
        <v/>
      </c>
      <c r="G1633" t="str">
        <f t="shared" si="51"/>
        <v/>
      </c>
    </row>
    <row r="1634" spans="6:7" x14ac:dyDescent="0.2">
      <c r="F1634" t="str">
        <f t="shared" si="50"/>
        <v/>
      </c>
      <c r="G1634" t="str">
        <f t="shared" si="51"/>
        <v/>
      </c>
    </row>
    <row r="1635" spans="6:7" x14ac:dyDescent="0.2">
      <c r="F1635" t="str">
        <f t="shared" si="50"/>
        <v/>
      </c>
      <c r="G1635" t="str">
        <f t="shared" si="51"/>
        <v/>
      </c>
    </row>
    <row r="1636" spans="6:7" x14ac:dyDescent="0.2">
      <c r="F1636" t="str">
        <f t="shared" si="50"/>
        <v/>
      </c>
      <c r="G1636" t="str">
        <f t="shared" si="51"/>
        <v/>
      </c>
    </row>
    <row r="1637" spans="6:7" x14ac:dyDescent="0.2">
      <c r="F1637" t="str">
        <f t="shared" si="50"/>
        <v/>
      </c>
      <c r="G1637" t="str">
        <f t="shared" si="51"/>
        <v/>
      </c>
    </row>
    <row r="1638" spans="6:7" x14ac:dyDescent="0.2">
      <c r="F1638" t="str">
        <f t="shared" si="50"/>
        <v/>
      </c>
      <c r="G1638" t="str">
        <f t="shared" si="51"/>
        <v/>
      </c>
    </row>
    <row r="1639" spans="6:7" x14ac:dyDescent="0.2">
      <c r="F1639" t="str">
        <f t="shared" si="50"/>
        <v/>
      </c>
      <c r="G1639" t="str">
        <f t="shared" si="51"/>
        <v/>
      </c>
    </row>
    <row r="1640" spans="6:7" x14ac:dyDescent="0.2">
      <c r="F1640" t="str">
        <f t="shared" si="50"/>
        <v/>
      </c>
      <c r="G1640" t="str">
        <f t="shared" si="51"/>
        <v/>
      </c>
    </row>
    <row r="1641" spans="6:7" x14ac:dyDescent="0.2">
      <c r="F1641" t="str">
        <f t="shared" si="50"/>
        <v/>
      </c>
      <c r="G1641" t="str">
        <f t="shared" si="51"/>
        <v/>
      </c>
    </row>
    <row r="1642" spans="6:7" x14ac:dyDescent="0.2">
      <c r="F1642" t="str">
        <f t="shared" si="50"/>
        <v/>
      </c>
      <c r="G1642" t="str">
        <f t="shared" si="51"/>
        <v/>
      </c>
    </row>
    <row r="1643" spans="6:7" x14ac:dyDescent="0.2">
      <c r="F1643" t="str">
        <f t="shared" si="50"/>
        <v/>
      </c>
      <c r="G1643" t="str">
        <f t="shared" si="51"/>
        <v/>
      </c>
    </row>
    <row r="1644" spans="6:7" x14ac:dyDescent="0.2">
      <c r="F1644" t="str">
        <f t="shared" si="50"/>
        <v/>
      </c>
      <c r="G1644" t="str">
        <f t="shared" si="51"/>
        <v/>
      </c>
    </row>
    <row r="1645" spans="6:7" x14ac:dyDescent="0.2">
      <c r="F1645" t="str">
        <f t="shared" si="50"/>
        <v/>
      </c>
      <c r="G1645" t="str">
        <f t="shared" si="51"/>
        <v/>
      </c>
    </row>
    <row r="1646" spans="6:7" x14ac:dyDescent="0.2">
      <c r="F1646" t="str">
        <f t="shared" si="50"/>
        <v/>
      </c>
      <c r="G1646" t="str">
        <f t="shared" si="51"/>
        <v/>
      </c>
    </row>
    <row r="1647" spans="6:7" x14ac:dyDescent="0.2">
      <c r="F1647" t="str">
        <f t="shared" si="50"/>
        <v/>
      </c>
      <c r="G1647" t="str">
        <f t="shared" si="51"/>
        <v/>
      </c>
    </row>
    <row r="1648" spans="6:7" x14ac:dyDescent="0.2">
      <c r="F1648" t="str">
        <f t="shared" si="50"/>
        <v/>
      </c>
      <c r="G1648" t="str">
        <f t="shared" si="51"/>
        <v/>
      </c>
    </row>
    <row r="1649" spans="6:7" x14ac:dyDescent="0.2">
      <c r="F1649" t="str">
        <f t="shared" si="50"/>
        <v/>
      </c>
      <c r="G1649" t="str">
        <f t="shared" si="51"/>
        <v/>
      </c>
    </row>
    <row r="1650" spans="6:7" x14ac:dyDescent="0.2">
      <c r="F1650" t="str">
        <f t="shared" si="50"/>
        <v/>
      </c>
      <c r="G1650" t="str">
        <f t="shared" si="51"/>
        <v/>
      </c>
    </row>
    <row r="1651" spans="6:7" x14ac:dyDescent="0.2">
      <c r="F1651" t="str">
        <f t="shared" si="50"/>
        <v/>
      </c>
      <c r="G1651" t="str">
        <f t="shared" si="51"/>
        <v/>
      </c>
    </row>
    <row r="1652" spans="6:7" x14ac:dyDescent="0.2">
      <c r="F1652" t="str">
        <f t="shared" si="50"/>
        <v/>
      </c>
      <c r="G1652" t="str">
        <f t="shared" si="51"/>
        <v/>
      </c>
    </row>
    <row r="1653" spans="6:7" x14ac:dyDescent="0.2">
      <c r="F1653" t="str">
        <f t="shared" si="50"/>
        <v/>
      </c>
      <c r="G1653" t="str">
        <f t="shared" si="51"/>
        <v/>
      </c>
    </row>
    <row r="1654" spans="6:7" x14ac:dyDescent="0.2">
      <c r="F1654" t="str">
        <f t="shared" si="50"/>
        <v/>
      </c>
      <c r="G1654" t="str">
        <f t="shared" si="51"/>
        <v/>
      </c>
    </row>
    <row r="1655" spans="6:7" x14ac:dyDescent="0.2">
      <c r="F1655" t="str">
        <f t="shared" si="50"/>
        <v/>
      </c>
      <c r="G1655" t="str">
        <f t="shared" si="51"/>
        <v/>
      </c>
    </row>
    <row r="1656" spans="6:7" x14ac:dyDescent="0.2">
      <c r="F1656" t="str">
        <f t="shared" si="50"/>
        <v/>
      </c>
      <c r="G1656" t="str">
        <f t="shared" si="51"/>
        <v/>
      </c>
    </row>
    <row r="1657" spans="6:7" x14ac:dyDescent="0.2">
      <c r="F1657" t="str">
        <f t="shared" si="50"/>
        <v/>
      </c>
      <c r="G1657" t="str">
        <f t="shared" si="51"/>
        <v/>
      </c>
    </row>
    <row r="1658" spans="6:7" x14ac:dyDescent="0.2">
      <c r="F1658" t="str">
        <f t="shared" si="50"/>
        <v/>
      </c>
      <c r="G1658" t="str">
        <f t="shared" si="51"/>
        <v/>
      </c>
    </row>
    <row r="1659" spans="6:7" x14ac:dyDescent="0.2">
      <c r="F1659" t="str">
        <f t="shared" si="50"/>
        <v/>
      </c>
      <c r="G1659" t="str">
        <f t="shared" si="51"/>
        <v/>
      </c>
    </row>
    <row r="1660" spans="6:7" x14ac:dyDescent="0.2">
      <c r="F1660" t="str">
        <f t="shared" si="50"/>
        <v/>
      </c>
      <c r="G1660" t="str">
        <f t="shared" si="51"/>
        <v/>
      </c>
    </row>
    <row r="1661" spans="6:7" x14ac:dyDescent="0.2">
      <c r="F1661" t="str">
        <f t="shared" si="50"/>
        <v/>
      </c>
      <c r="G1661" t="str">
        <f t="shared" si="51"/>
        <v/>
      </c>
    </row>
    <row r="1662" spans="6:7" x14ac:dyDescent="0.2">
      <c r="F1662" t="str">
        <f t="shared" si="50"/>
        <v/>
      </c>
      <c r="G1662" t="str">
        <f t="shared" si="51"/>
        <v/>
      </c>
    </row>
    <row r="1663" spans="6:7" x14ac:dyDescent="0.2">
      <c r="F1663" t="str">
        <f t="shared" si="50"/>
        <v/>
      </c>
      <c r="G1663" t="str">
        <f t="shared" si="51"/>
        <v/>
      </c>
    </row>
    <row r="1664" spans="6:7" x14ac:dyDescent="0.2">
      <c r="F1664" t="str">
        <f t="shared" si="50"/>
        <v/>
      </c>
      <c r="G1664" t="str">
        <f t="shared" si="51"/>
        <v/>
      </c>
    </row>
    <row r="1665" spans="6:7" x14ac:dyDescent="0.2">
      <c r="F1665" t="str">
        <f t="shared" si="50"/>
        <v/>
      </c>
      <c r="G1665" t="str">
        <f t="shared" si="51"/>
        <v/>
      </c>
    </row>
    <row r="1666" spans="6:7" x14ac:dyDescent="0.2">
      <c r="F1666" t="str">
        <f t="shared" ref="F1666:F1729" si="52">IF(OR(D1666="",E1666=""),"",E1666-D1666)</f>
        <v/>
      </c>
      <c r="G1666" t="str">
        <f t="shared" ref="G1666:G1729" si="53">IF(F1666="","",IF(F1666&gt;0,"ANO","NE"))</f>
        <v/>
      </c>
    </row>
    <row r="1667" spans="6:7" x14ac:dyDescent="0.2">
      <c r="F1667" t="str">
        <f t="shared" si="52"/>
        <v/>
      </c>
      <c r="G1667" t="str">
        <f t="shared" si="53"/>
        <v/>
      </c>
    </row>
    <row r="1668" spans="6:7" x14ac:dyDescent="0.2">
      <c r="F1668" t="str">
        <f t="shared" si="52"/>
        <v/>
      </c>
      <c r="G1668" t="str">
        <f t="shared" si="53"/>
        <v/>
      </c>
    </row>
    <row r="1669" spans="6:7" x14ac:dyDescent="0.2">
      <c r="F1669" t="str">
        <f t="shared" si="52"/>
        <v/>
      </c>
      <c r="G1669" t="str">
        <f t="shared" si="53"/>
        <v/>
      </c>
    </row>
    <row r="1670" spans="6:7" x14ac:dyDescent="0.2">
      <c r="F1670" t="str">
        <f t="shared" si="52"/>
        <v/>
      </c>
      <c r="G1670" t="str">
        <f t="shared" si="53"/>
        <v/>
      </c>
    </row>
    <row r="1671" spans="6:7" x14ac:dyDescent="0.2">
      <c r="F1671" t="str">
        <f t="shared" si="52"/>
        <v/>
      </c>
      <c r="G1671" t="str">
        <f t="shared" si="53"/>
        <v/>
      </c>
    </row>
    <row r="1672" spans="6:7" x14ac:dyDescent="0.2">
      <c r="F1672" t="str">
        <f t="shared" si="52"/>
        <v/>
      </c>
      <c r="G1672" t="str">
        <f t="shared" si="53"/>
        <v/>
      </c>
    </row>
    <row r="1673" spans="6:7" x14ac:dyDescent="0.2">
      <c r="F1673" t="str">
        <f t="shared" si="52"/>
        <v/>
      </c>
      <c r="G1673" t="str">
        <f t="shared" si="53"/>
        <v/>
      </c>
    </row>
    <row r="1674" spans="6:7" x14ac:dyDescent="0.2">
      <c r="F1674" t="str">
        <f t="shared" si="52"/>
        <v/>
      </c>
      <c r="G1674" t="str">
        <f t="shared" si="53"/>
        <v/>
      </c>
    </row>
    <row r="1675" spans="6:7" x14ac:dyDescent="0.2">
      <c r="F1675" t="str">
        <f t="shared" si="52"/>
        <v/>
      </c>
      <c r="G1675" t="str">
        <f t="shared" si="53"/>
        <v/>
      </c>
    </row>
    <row r="1676" spans="6:7" x14ac:dyDescent="0.2">
      <c r="F1676" t="str">
        <f t="shared" si="52"/>
        <v/>
      </c>
      <c r="G1676" t="str">
        <f t="shared" si="53"/>
        <v/>
      </c>
    </row>
    <row r="1677" spans="6:7" x14ac:dyDescent="0.2">
      <c r="F1677" t="str">
        <f t="shared" si="52"/>
        <v/>
      </c>
      <c r="G1677" t="str">
        <f t="shared" si="53"/>
        <v/>
      </c>
    </row>
    <row r="1678" spans="6:7" x14ac:dyDescent="0.2">
      <c r="F1678" t="str">
        <f t="shared" si="52"/>
        <v/>
      </c>
      <c r="G1678" t="str">
        <f t="shared" si="53"/>
        <v/>
      </c>
    </row>
    <row r="1679" spans="6:7" x14ac:dyDescent="0.2">
      <c r="F1679" t="str">
        <f t="shared" si="52"/>
        <v/>
      </c>
      <c r="G1679" t="str">
        <f t="shared" si="53"/>
        <v/>
      </c>
    </row>
    <row r="1680" spans="6:7" x14ac:dyDescent="0.2">
      <c r="F1680" t="str">
        <f t="shared" si="52"/>
        <v/>
      </c>
      <c r="G1680" t="str">
        <f t="shared" si="53"/>
        <v/>
      </c>
    </row>
    <row r="1681" spans="6:7" x14ac:dyDescent="0.2">
      <c r="F1681" t="str">
        <f t="shared" si="52"/>
        <v/>
      </c>
      <c r="G1681" t="str">
        <f t="shared" si="53"/>
        <v/>
      </c>
    </row>
    <row r="1682" spans="6:7" x14ac:dyDescent="0.2">
      <c r="F1682" t="str">
        <f t="shared" si="52"/>
        <v/>
      </c>
      <c r="G1682" t="str">
        <f t="shared" si="53"/>
        <v/>
      </c>
    </row>
    <row r="1683" spans="6:7" x14ac:dyDescent="0.2">
      <c r="F1683" t="str">
        <f t="shared" si="52"/>
        <v/>
      </c>
      <c r="G1683" t="str">
        <f t="shared" si="53"/>
        <v/>
      </c>
    </row>
    <row r="1684" spans="6:7" x14ac:dyDescent="0.2">
      <c r="F1684" t="str">
        <f t="shared" si="52"/>
        <v/>
      </c>
      <c r="G1684" t="str">
        <f t="shared" si="53"/>
        <v/>
      </c>
    </row>
    <row r="1685" spans="6:7" x14ac:dyDescent="0.2">
      <c r="F1685" t="str">
        <f t="shared" si="52"/>
        <v/>
      </c>
      <c r="G1685" t="str">
        <f t="shared" si="53"/>
        <v/>
      </c>
    </row>
    <row r="1686" spans="6:7" x14ac:dyDescent="0.2">
      <c r="F1686" t="str">
        <f t="shared" si="52"/>
        <v/>
      </c>
      <c r="G1686" t="str">
        <f t="shared" si="53"/>
        <v/>
      </c>
    </row>
    <row r="1687" spans="6:7" x14ac:dyDescent="0.2">
      <c r="F1687" t="str">
        <f t="shared" si="52"/>
        <v/>
      </c>
      <c r="G1687" t="str">
        <f t="shared" si="53"/>
        <v/>
      </c>
    </row>
    <row r="1688" spans="6:7" x14ac:dyDescent="0.2">
      <c r="F1688" t="str">
        <f t="shared" si="52"/>
        <v/>
      </c>
      <c r="G1688" t="str">
        <f t="shared" si="53"/>
        <v/>
      </c>
    </row>
    <row r="1689" spans="6:7" x14ac:dyDescent="0.2">
      <c r="F1689" t="str">
        <f t="shared" si="52"/>
        <v/>
      </c>
      <c r="G1689" t="str">
        <f t="shared" si="53"/>
        <v/>
      </c>
    </row>
    <row r="1690" spans="6:7" x14ac:dyDescent="0.2">
      <c r="F1690" t="str">
        <f t="shared" si="52"/>
        <v/>
      </c>
      <c r="G1690" t="str">
        <f t="shared" si="53"/>
        <v/>
      </c>
    </row>
    <row r="1691" spans="6:7" x14ac:dyDescent="0.2">
      <c r="F1691" t="str">
        <f t="shared" si="52"/>
        <v/>
      </c>
      <c r="G1691" t="str">
        <f t="shared" si="53"/>
        <v/>
      </c>
    </row>
    <row r="1692" spans="6:7" x14ac:dyDescent="0.2">
      <c r="F1692" t="str">
        <f t="shared" si="52"/>
        <v/>
      </c>
      <c r="G1692" t="str">
        <f t="shared" si="53"/>
        <v/>
      </c>
    </row>
    <row r="1693" spans="6:7" x14ac:dyDescent="0.2">
      <c r="F1693" t="str">
        <f t="shared" si="52"/>
        <v/>
      </c>
      <c r="G1693" t="str">
        <f t="shared" si="53"/>
        <v/>
      </c>
    </row>
    <row r="1694" spans="6:7" x14ac:dyDescent="0.2">
      <c r="F1694" t="str">
        <f t="shared" si="52"/>
        <v/>
      </c>
      <c r="G1694" t="str">
        <f t="shared" si="53"/>
        <v/>
      </c>
    </row>
    <row r="1695" spans="6:7" x14ac:dyDescent="0.2">
      <c r="F1695" t="str">
        <f t="shared" si="52"/>
        <v/>
      </c>
      <c r="G1695" t="str">
        <f t="shared" si="53"/>
        <v/>
      </c>
    </row>
    <row r="1696" spans="6:7" x14ac:dyDescent="0.2">
      <c r="F1696" t="str">
        <f t="shared" si="52"/>
        <v/>
      </c>
      <c r="G1696" t="str">
        <f t="shared" si="53"/>
        <v/>
      </c>
    </row>
    <row r="1697" spans="6:7" x14ac:dyDescent="0.2">
      <c r="F1697" t="str">
        <f t="shared" si="52"/>
        <v/>
      </c>
      <c r="G1697" t="str">
        <f t="shared" si="53"/>
        <v/>
      </c>
    </row>
    <row r="1698" spans="6:7" x14ac:dyDescent="0.2">
      <c r="F1698" t="str">
        <f t="shared" si="52"/>
        <v/>
      </c>
      <c r="G1698" t="str">
        <f t="shared" si="53"/>
        <v/>
      </c>
    </row>
    <row r="1699" spans="6:7" x14ac:dyDescent="0.2">
      <c r="F1699" t="str">
        <f t="shared" si="52"/>
        <v/>
      </c>
      <c r="G1699" t="str">
        <f t="shared" si="53"/>
        <v/>
      </c>
    </row>
    <row r="1700" spans="6:7" x14ac:dyDescent="0.2">
      <c r="F1700" t="str">
        <f t="shared" si="52"/>
        <v/>
      </c>
      <c r="G1700" t="str">
        <f t="shared" si="53"/>
        <v/>
      </c>
    </row>
    <row r="1701" spans="6:7" x14ac:dyDescent="0.2">
      <c r="F1701" t="str">
        <f t="shared" si="52"/>
        <v/>
      </c>
      <c r="G1701" t="str">
        <f t="shared" si="53"/>
        <v/>
      </c>
    </row>
    <row r="1702" spans="6:7" x14ac:dyDescent="0.2">
      <c r="F1702" t="str">
        <f t="shared" si="52"/>
        <v/>
      </c>
      <c r="G1702" t="str">
        <f t="shared" si="53"/>
        <v/>
      </c>
    </row>
    <row r="1703" spans="6:7" x14ac:dyDescent="0.2">
      <c r="F1703" t="str">
        <f t="shared" si="52"/>
        <v/>
      </c>
      <c r="G1703" t="str">
        <f t="shared" si="53"/>
        <v/>
      </c>
    </row>
    <row r="1704" spans="6:7" x14ac:dyDescent="0.2">
      <c r="F1704" t="str">
        <f t="shared" si="52"/>
        <v/>
      </c>
      <c r="G1704" t="str">
        <f t="shared" si="53"/>
        <v/>
      </c>
    </row>
    <row r="1705" spans="6:7" x14ac:dyDescent="0.2">
      <c r="F1705" t="str">
        <f t="shared" si="52"/>
        <v/>
      </c>
      <c r="G1705" t="str">
        <f t="shared" si="53"/>
        <v/>
      </c>
    </row>
    <row r="1706" spans="6:7" x14ac:dyDescent="0.2">
      <c r="F1706" t="str">
        <f t="shared" si="52"/>
        <v/>
      </c>
      <c r="G1706" t="str">
        <f t="shared" si="53"/>
        <v/>
      </c>
    </row>
    <row r="1707" spans="6:7" x14ac:dyDescent="0.2">
      <c r="F1707" t="str">
        <f t="shared" si="52"/>
        <v/>
      </c>
      <c r="G1707" t="str">
        <f t="shared" si="53"/>
        <v/>
      </c>
    </row>
    <row r="1708" spans="6:7" x14ac:dyDescent="0.2">
      <c r="F1708" t="str">
        <f t="shared" si="52"/>
        <v/>
      </c>
      <c r="G1708" t="str">
        <f t="shared" si="53"/>
        <v/>
      </c>
    </row>
    <row r="1709" spans="6:7" x14ac:dyDescent="0.2">
      <c r="F1709" t="str">
        <f t="shared" si="52"/>
        <v/>
      </c>
      <c r="G1709" t="str">
        <f t="shared" si="53"/>
        <v/>
      </c>
    </row>
    <row r="1710" spans="6:7" x14ac:dyDescent="0.2">
      <c r="F1710" t="str">
        <f t="shared" si="52"/>
        <v/>
      </c>
      <c r="G1710" t="str">
        <f t="shared" si="53"/>
        <v/>
      </c>
    </row>
    <row r="1711" spans="6:7" x14ac:dyDescent="0.2">
      <c r="F1711" t="str">
        <f t="shared" si="52"/>
        <v/>
      </c>
      <c r="G1711" t="str">
        <f t="shared" si="53"/>
        <v/>
      </c>
    </row>
    <row r="1712" spans="6:7" x14ac:dyDescent="0.2">
      <c r="F1712" t="str">
        <f t="shared" si="52"/>
        <v/>
      </c>
      <c r="G1712" t="str">
        <f t="shared" si="53"/>
        <v/>
      </c>
    </row>
    <row r="1713" spans="6:7" x14ac:dyDescent="0.2">
      <c r="F1713" t="str">
        <f t="shared" si="52"/>
        <v/>
      </c>
      <c r="G1713" t="str">
        <f t="shared" si="53"/>
        <v/>
      </c>
    </row>
    <row r="1714" spans="6:7" x14ac:dyDescent="0.2">
      <c r="F1714" t="str">
        <f t="shared" si="52"/>
        <v/>
      </c>
      <c r="G1714" t="str">
        <f t="shared" si="53"/>
        <v/>
      </c>
    </row>
    <row r="1715" spans="6:7" x14ac:dyDescent="0.2">
      <c r="F1715" t="str">
        <f t="shared" si="52"/>
        <v/>
      </c>
      <c r="G1715" t="str">
        <f t="shared" si="53"/>
        <v/>
      </c>
    </row>
    <row r="1716" spans="6:7" x14ac:dyDescent="0.2">
      <c r="F1716" t="str">
        <f t="shared" si="52"/>
        <v/>
      </c>
      <c r="G1716" t="str">
        <f t="shared" si="53"/>
        <v/>
      </c>
    </row>
    <row r="1717" spans="6:7" x14ac:dyDescent="0.2">
      <c r="F1717" t="str">
        <f t="shared" si="52"/>
        <v/>
      </c>
      <c r="G1717" t="str">
        <f t="shared" si="53"/>
        <v/>
      </c>
    </row>
    <row r="1718" spans="6:7" x14ac:dyDescent="0.2">
      <c r="F1718" t="str">
        <f t="shared" si="52"/>
        <v/>
      </c>
      <c r="G1718" t="str">
        <f t="shared" si="53"/>
        <v/>
      </c>
    </row>
    <row r="1719" spans="6:7" x14ac:dyDescent="0.2">
      <c r="F1719" t="str">
        <f t="shared" si="52"/>
        <v/>
      </c>
      <c r="G1719" t="str">
        <f t="shared" si="53"/>
        <v/>
      </c>
    </row>
    <row r="1720" spans="6:7" x14ac:dyDescent="0.2">
      <c r="F1720" t="str">
        <f t="shared" si="52"/>
        <v/>
      </c>
      <c r="G1720" t="str">
        <f t="shared" si="53"/>
        <v/>
      </c>
    </row>
    <row r="1721" spans="6:7" x14ac:dyDescent="0.2">
      <c r="F1721" t="str">
        <f t="shared" si="52"/>
        <v/>
      </c>
      <c r="G1721" t="str">
        <f t="shared" si="53"/>
        <v/>
      </c>
    </row>
    <row r="1722" spans="6:7" x14ac:dyDescent="0.2">
      <c r="F1722" t="str">
        <f t="shared" si="52"/>
        <v/>
      </c>
      <c r="G1722" t="str">
        <f t="shared" si="53"/>
        <v/>
      </c>
    </row>
    <row r="1723" spans="6:7" x14ac:dyDescent="0.2">
      <c r="F1723" t="str">
        <f t="shared" si="52"/>
        <v/>
      </c>
      <c r="G1723" t="str">
        <f t="shared" si="53"/>
        <v/>
      </c>
    </row>
    <row r="1724" spans="6:7" x14ac:dyDescent="0.2">
      <c r="F1724" t="str">
        <f t="shared" si="52"/>
        <v/>
      </c>
      <c r="G1724" t="str">
        <f t="shared" si="53"/>
        <v/>
      </c>
    </row>
    <row r="1725" spans="6:7" x14ac:dyDescent="0.2">
      <c r="F1725" t="str">
        <f t="shared" si="52"/>
        <v/>
      </c>
      <c r="G1725" t="str">
        <f t="shared" si="53"/>
        <v/>
      </c>
    </row>
    <row r="1726" spans="6:7" x14ac:dyDescent="0.2">
      <c r="F1726" t="str">
        <f t="shared" si="52"/>
        <v/>
      </c>
      <c r="G1726" t="str">
        <f t="shared" si="53"/>
        <v/>
      </c>
    </row>
    <row r="1727" spans="6:7" x14ac:dyDescent="0.2">
      <c r="F1727" t="str">
        <f t="shared" si="52"/>
        <v/>
      </c>
      <c r="G1727" t="str">
        <f t="shared" si="53"/>
        <v/>
      </c>
    </row>
    <row r="1728" spans="6:7" x14ac:dyDescent="0.2">
      <c r="F1728" t="str">
        <f t="shared" si="52"/>
        <v/>
      </c>
      <c r="G1728" t="str">
        <f t="shared" si="53"/>
        <v/>
      </c>
    </row>
    <row r="1729" spans="6:7" x14ac:dyDescent="0.2">
      <c r="F1729" t="str">
        <f t="shared" si="52"/>
        <v/>
      </c>
      <c r="G1729" t="str">
        <f t="shared" si="53"/>
        <v/>
      </c>
    </row>
    <row r="1730" spans="6:7" x14ac:dyDescent="0.2">
      <c r="F1730" t="str">
        <f t="shared" ref="F1730:F1793" si="54">IF(OR(D1730="",E1730=""),"",E1730-D1730)</f>
        <v/>
      </c>
      <c r="G1730" t="str">
        <f t="shared" ref="G1730:G1793" si="55">IF(F1730="","",IF(F1730&gt;0,"ANO","NE"))</f>
        <v/>
      </c>
    </row>
    <row r="1731" spans="6:7" x14ac:dyDescent="0.2">
      <c r="F1731" t="str">
        <f t="shared" si="54"/>
        <v/>
      </c>
      <c r="G1731" t="str">
        <f t="shared" si="55"/>
        <v/>
      </c>
    </row>
    <row r="1732" spans="6:7" x14ac:dyDescent="0.2">
      <c r="F1732" t="str">
        <f t="shared" si="54"/>
        <v/>
      </c>
      <c r="G1732" t="str">
        <f t="shared" si="55"/>
        <v/>
      </c>
    </row>
    <row r="1733" spans="6:7" x14ac:dyDescent="0.2">
      <c r="F1733" t="str">
        <f t="shared" si="54"/>
        <v/>
      </c>
      <c r="G1733" t="str">
        <f t="shared" si="55"/>
        <v/>
      </c>
    </row>
    <row r="1734" spans="6:7" x14ac:dyDescent="0.2">
      <c r="F1734" t="str">
        <f t="shared" si="54"/>
        <v/>
      </c>
      <c r="G1734" t="str">
        <f t="shared" si="55"/>
        <v/>
      </c>
    </row>
    <row r="1735" spans="6:7" x14ac:dyDescent="0.2">
      <c r="F1735" t="str">
        <f t="shared" si="54"/>
        <v/>
      </c>
      <c r="G1735" t="str">
        <f t="shared" si="55"/>
        <v/>
      </c>
    </row>
    <row r="1736" spans="6:7" x14ac:dyDescent="0.2">
      <c r="F1736" t="str">
        <f t="shared" si="54"/>
        <v/>
      </c>
      <c r="G1736" t="str">
        <f t="shared" si="55"/>
        <v/>
      </c>
    </row>
    <row r="1737" spans="6:7" x14ac:dyDescent="0.2">
      <c r="F1737" t="str">
        <f t="shared" si="54"/>
        <v/>
      </c>
      <c r="G1737" t="str">
        <f t="shared" si="55"/>
        <v/>
      </c>
    </row>
    <row r="1738" spans="6:7" x14ac:dyDescent="0.2">
      <c r="F1738" t="str">
        <f t="shared" si="54"/>
        <v/>
      </c>
      <c r="G1738" t="str">
        <f t="shared" si="55"/>
        <v/>
      </c>
    </row>
    <row r="1739" spans="6:7" x14ac:dyDescent="0.2">
      <c r="F1739" t="str">
        <f t="shared" si="54"/>
        <v/>
      </c>
      <c r="G1739" t="str">
        <f t="shared" si="55"/>
        <v/>
      </c>
    </row>
    <row r="1740" spans="6:7" x14ac:dyDescent="0.2">
      <c r="F1740" t="str">
        <f t="shared" si="54"/>
        <v/>
      </c>
      <c r="G1740" t="str">
        <f t="shared" si="55"/>
        <v/>
      </c>
    </row>
    <row r="1741" spans="6:7" x14ac:dyDescent="0.2">
      <c r="F1741" t="str">
        <f t="shared" si="54"/>
        <v/>
      </c>
      <c r="G1741" t="str">
        <f t="shared" si="55"/>
        <v/>
      </c>
    </row>
    <row r="1742" spans="6:7" x14ac:dyDescent="0.2">
      <c r="F1742" t="str">
        <f t="shared" si="54"/>
        <v/>
      </c>
      <c r="G1742" t="str">
        <f t="shared" si="55"/>
        <v/>
      </c>
    </row>
    <row r="1743" spans="6:7" x14ac:dyDescent="0.2">
      <c r="F1743" t="str">
        <f t="shared" si="54"/>
        <v/>
      </c>
      <c r="G1743" t="str">
        <f t="shared" si="55"/>
        <v/>
      </c>
    </row>
    <row r="1744" spans="6:7" x14ac:dyDescent="0.2">
      <c r="F1744" t="str">
        <f t="shared" si="54"/>
        <v/>
      </c>
      <c r="G1744" t="str">
        <f t="shared" si="55"/>
        <v/>
      </c>
    </row>
    <row r="1745" spans="6:7" x14ac:dyDescent="0.2">
      <c r="F1745" t="str">
        <f t="shared" si="54"/>
        <v/>
      </c>
      <c r="G1745" t="str">
        <f t="shared" si="55"/>
        <v/>
      </c>
    </row>
    <row r="1746" spans="6:7" x14ac:dyDescent="0.2">
      <c r="F1746" t="str">
        <f t="shared" si="54"/>
        <v/>
      </c>
      <c r="G1746" t="str">
        <f t="shared" si="55"/>
        <v/>
      </c>
    </row>
    <row r="1747" spans="6:7" x14ac:dyDescent="0.2">
      <c r="F1747" t="str">
        <f t="shared" si="54"/>
        <v/>
      </c>
      <c r="G1747" t="str">
        <f t="shared" si="55"/>
        <v/>
      </c>
    </row>
    <row r="1748" spans="6:7" x14ac:dyDescent="0.2">
      <c r="F1748" t="str">
        <f t="shared" si="54"/>
        <v/>
      </c>
      <c r="G1748" t="str">
        <f t="shared" si="55"/>
        <v/>
      </c>
    </row>
    <row r="1749" spans="6:7" x14ac:dyDescent="0.2">
      <c r="F1749" t="str">
        <f t="shared" si="54"/>
        <v/>
      </c>
      <c r="G1749" t="str">
        <f t="shared" si="55"/>
        <v/>
      </c>
    </row>
    <row r="1750" spans="6:7" x14ac:dyDescent="0.2">
      <c r="F1750" t="str">
        <f t="shared" si="54"/>
        <v/>
      </c>
      <c r="G1750" t="str">
        <f t="shared" si="55"/>
        <v/>
      </c>
    </row>
    <row r="1751" spans="6:7" x14ac:dyDescent="0.2">
      <c r="F1751" t="str">
        <f t="shared" si="54"/>
        <v/>
      </c>
      <c r="G1751" t="str">
        <f t="shared" si="55"/>
        <v/>
      </c>
    </row>
    <row r="1752" spans="6:7" x14ac:dyDescent="0.2">
      <c r="F1752" t="str">
        <f t="shared" si="54"/>
        <v/>
      </c>
      <c r="G1752" t="str">
        <f t="shared" si="55"/>
        <v/>
      </c>
    </row>
    <row r="1753" spans="6:7" x14ac:dyDescent="0.2">
      <c r="F1753" t="str">
        <f t="shared" si="54"/>
        <v/>
      </c>
      <c r="G1753" t="str">
        <f t="shared" si="55"/>
        <v/>
      </c>
    </row>
    <row r="1754" spans="6:7" x14ac:dyDescent="0.2">
      <c r="F1754" t="str">
        <f t="shared" si="54"/>
        <v/>
      </c>
      <c r="G1754" t="str">
        <f t="shared" si="55"/>
        <v/>
      </c>
    </row>
    <row r="1755" spans="6:7" x14ac:dyDescent="0.2">
      <c r="F1755" t="str">
        <f t="shared" si="54"/>
        <v/>
      </c>
      <c r="G1755" t="str">
        <f t="shared" si="55"/>
        <v/>
      </c>
    </row>
    <row r="1756" spans="6:7" x14ac:dyDescent="0.2">
      <c r="F1756" t="str">
        <f t="shared" si="54"/>
        <v/>
      </c>
      <c r="G1756" t="str">
        <f t="shared" si="55"/>
        <v/>
      </c>
    </row>
    <row r="1757" spans="6:7" x14ac:dyDescent="0.2">
      <c r="F1757" t="str">
        <f t="shared" si="54"/>
        <v/>
      </c>
      <c r="G1757" t="str">
        <f t="shared" si="55"/>
        <v/>
      </c>
    </row>
    <row r="1758" spans="6:7" x14ac:dyDescent="0.2">
      <c r="F1758" t="str">
        <f t="shared" si="54"/>
        <v/>
      </c>
      <c r="G1758" t="str">
        <f t="shared" si="55"/>
        <v/>
      </c>
    </row>
    <row r="1759" spans="6:7" x14ac:dyDescent="0.2">
      <c r="F1759" t="str">
        <f t="shared" si="54"/>
        <v/>
      </c>
      <c r="G1759" t="str">
        <f t="shared" si="55"/>
        <v/>
      </c>
    </row>
    <row r="1760" spans="6:7" x14ac:dyDescent="0.2">
      <c r="F1760" t="str">
        <f t="shared" si="54"/>
        <v/>
      </c>
      <c r="G1760" t="str">
        <f t="shared" si="55"/>
        <v/>
      </c>
    </row>
    <row r="1761" spans="6:7" x14ac:dyDescent="0.2">
      <c r="F1761" t="str">
        <f t="shared" si="54"/>
        <v/>
      </c>
      <c r="G1761" t="str">
        <f t="shared" si="55"/>
        <v/>
      </c>
    </row>
    <row r="1762" spans="6:7" x14ac:dyDescent="0.2">
      <c r="F1762" t="str">
        <f t="shared" si="54"/>
        <v/>
      </c>
      <c r="G1762" t="str">
        <f t="shared" si="55"/>
        <v/>
      </c>
    </row>
    <row r="1763" spans="6:7" x14ac:dyDescent="0.2">
      <c r="F1763" t="str">
        <f t="shared" si="54"/>
        <v/>
      </c>
      <c r="G1763" t="str">
        <f t="shared" si="55"/>
        <v/>
      </c>
    </row>
    <row r="1764" spans="6:7" x14ac:dyDescent="0.2">
      <c r="F1764" t="str">
        <f t="shared" si="54"/>
        <v/>
      </c>
      <c r="G1764" t="str">
        <f t="shared" si="55"/>
        <v/>
      </c>
    </row>
    <row r="1765" spans="6:7" x14ac:dyDescent="0.2">
      <c r="F1765" t="str">
        <f t="shared" si="54"/>
        <v/>
      </c>
      <c r="G1765" t="str">
        <f t="shared" si="55"/>
        <v/>
      </c>
    </row>
    <row r="1766" spans="6:7" x14ac:dyDescent="0.2">
      <c r="F1766" t="str">
        <f t="shared" si="54"/>
        <v/>
      </c>
      <c r="G1766" t="str">
        <f t="shared" si="55"/>
        <v/>
      </c>
    </row>
    <row r="1767" spans="6:7" x14ac:dyDescent="0.2">
      <c r="F1767" t="str">
        <f t="shared" si="54"/>
        <v/>
      </c>
      <c r="G1767" t="str">
        <f t="shared" si="55"/>
        <v/>
      </c>
    </row>
    <row r="1768" spans="6:7" x14ac:dyDescent="0.2">
      <c r="F1768" t="str">
        <f t="shared" si="54"/>
        <v/>
      </c>
      <c r="G1768" t="str">
        <f t="shared" si="55"/>
        <v/>
      </c>
    </row>
    <row r="1769" spans="6:7" x14ac:dyDescent="0.2">
      <c r="F1769" t="str">
        <f t="shared" si="54"/>
        <v/>
      </c>
      <c r="G1769" t="str">
        <f t="shared" si="55"/>
        <v/>
      </c>
    </row>
    <row r="1770" spans="6:7" x14ac:dyDescent="0.2">
      <c r="F1770" t="str">
        <f t="shared" si="54"/>
        <v/>
      </c>
      <c r="G1770" t="str">
        <f t="shared" si="55"/>
        <v/>
      </c>
    </row>
    <row r="1771" spans="6:7" x14ac:dyDescent="0.2">
      <c r="F1771" t="str">
        <f t="shared" si="54"/>
        <v/>
      </c>
      <c r="G1771" t="str">
        <f t="shared" si="55"/>
        <v/>
      </c>
    </row>
    <row r="1772" spans="6:7" x14ac:dyDescent="0.2">
      <c r="F1772" t="str">
        <f t="shared" si="54"/>
        <v/>
      </c>
      <c r="G1772" t="str">
        <f t="shared" si="55"/>
        <v/>
      </c>
    </row>
    <row r="1773" spans="6:7" x14ac:dyDescent="0.2">
      <c r="F1773" t="str">
        <f t="shared" si="54"/>
        <v/>
      </c>
      <c r="G1773" t="str">
        <f t="shared" si="55"/>
        <v/>
      </c>
    </row>
    <row r="1774" spans="6:7" x14ac:dyDescent="0.2">
      <c r="F1774" t="str">
        <f t="shared" si="54"/>
        <v/>
      </c>
      <c r="G1774" t="str">
        <f t="shared" si="55"/>
        <v/>
      </c>
    </row>
    <row r="1775" spans="6:7" x14ac:dyDescent="0.2">
      <c r="F1775" t="str">
        <f t="shared" si="54"/>
        <v/>
      </c>
      <c r="G1775" t="str">
        <f t="shared" si="55"/>
        <v/>
      </c>
    </row>
    <row r="1776" spans="6:7" x14ac:dyDescent="0.2">
      <c r="F1776" t="str">
        <f t="shared" si="54"/>
        <v/>
      </c>
      <c r="G1776" t="str">
        <f t="shared" si="55"/>
        <v/>
      </c>
    </row>
    <row r="1777" spans="6:7" x14ac:dyDescent="0.2">
      <c r="F1777" t="str">
        <f t="shared" si="54"/>
        <v/>
      </c>
      <c r="G1777" t="str">
        <f t="shared" si="55"/>
        <v/>
      </c>
    </row>
    <row r="1778" spans="6:7" x14ac:dyDescent="0.2">
      <c r="F1778" t="str">
        <f t="shared" si="54"/>
        <v/>
      </c>
      <c r="G1778" t="str">
        <f t="shared" si="55"/>
        <v/>
      </c>
    </row>
    <row r="1779" spans="6:7" x14ac:dyDescent="0.2">
      <c r="F1779" t="str">
        <f t="shared" si="54"/>
        <v/>
      </c>
      <c r="G1779" t="str">
        <f t="shared" si="55"/>
        <v/>
      </c>
    </row>
    <row r="1780" spans="6:7" x14ac:dyDescent="0.2">
      <c r="F1780" t="str">
        <f t="shared" si="54"/>
        <v/>
      </c>
      <c r="G1780" t="str">
        <f t="shared" si="55"/>
        <v/>
      </c>
    </row>
    <row r="1781" spans="6:7" x14ac:dyDescent="0.2">
      <c r="F1781" t="str">
        <f t="shared" si="54"/>
        <v/>
      </c>
      <c r="G1781" t="str">
        <f t="shared" si="55"/>
        <v/>
      </c>
    </row>
    <row r="1782" spans="6:7" x14ac:dyDescent="0.2">
      <c r="F1782" t="str">
        <f t="shared" si="54"/>
        <v/>
      </c>
      <c r="G1782" t="str">
        <f t="shared" si="55"/>
        <v/>
      </c>
    </row>
    <row r="1783" spans="6:7" x14ac:dyDescent="0.2">
      <c r="F1783" t="str">
        <f t="shared" si="54"/>
        <v/>
      </c>
      <c r="G1783" t="str">
        <f t="shared" si="55"/>
        <v/>
      </c>
    </row>
    <row r="1784" spans="6:7" x14ac:dyDescent="0.2">
      <c r="F1784" t="str">
        <f t="shared" si="54"/>
        <v/>
      </c>
      <c r="G1784" t="str">
        <f t="shared" si="55"/>
        <v/>
      </c>
    </row>
    <row r="1785" spans="6:7" x14ac:dyDescent="0.2">
      <c r="F1785" t="str">
        <f t="shared" si="54"/>
        <v/>
      </c>
      <c r="G1785" t="str">
        <f t="shared" si="55"/>
        <v/>
      </c>
    </row>
    <row r="1786" spans="6:7" x14ac:dyDescent="0.2">
      <c r="F1786" t="str">
        <f t="shared" si="54"/>
        <v/>
      </c>
      <c r="G1786" t="str">
        <f t="shared" si="55"/>
        <v/>
      </c>
    </row>
    <row r="1787" spans="6:7" x14ac:dyDescent="0.2">
      <c r="F1787" t="str">
        <f t="shared" si="54"/>
        <v/>
      </c>
      <c r="G1787" t="str">
        <f t="shared" si="55"/>
        <v/>
      </c>
    </row>
    <row r="1788" spans="6:7" x14ac:dyDescent="0.2">
      <c r="F1788" t="str">
        <f t="shared" si="54"/>
        <v/>
      </c>
      <c r="G1788" t="str">
        <f t="shared" si="55"/>
        <v/>
      </c>
    </row>
    <row r="1789" spans="6:7" x14ac:dyDescent="0.2">
      <c r="F1789" t="str">
        <f t="shared" si="54"/>
        <v/>
      </c>
      <c r="G1789" t="str">
        <f t="shared" si="55"/>
        <v/>
      </c>
    </row>
    <row r="1790" spans="6:7" x14ac:dyDescent="0.2">
      <c r="F1790" t="str">
        <f t="shared" si="54"/>
        <v/>
      </c>
      <c r="G1790" t="str">
        <f t="shared" si="55"/>
        <v/>
      </c>
    </row>
    <row r="1791" spans="6:7" x14ac:dyDescent="0.2">
      <c r="F1791" t="str">
        <f t="shared" si="54"/>
        <v/>
      </c>
      <c r="G1791" t="str">
        <f t="shared" si="55"/>
        <v/>
      </c>
    </row>
    <row r="1792" spans="6:7" x14ac:dyDescent="0.2">
      <c r="F1792" t="str">
        <f t="shared" si="54"/>
        <v/>
      </c>
      <c r="G1792" t="str">
        <f t="shared" si="55"/>
        <v/>
      </c>
    </row>
    <row r="1793" spans="6:7" x14ac:dyDescent="0.2">
      <c r="F1793" t="str">
        <f t="shared" si="54"/>
        <v/>
      </c>
      <c r="G1793" t="str">
        <f t="shared" si="55"/>
        <v/>
      </c>
    </row>
    <row r="1794" spans="6:7" x14ac:dyDescent="0.2">
      <c r="F1794" t="str">
        <f t="shared" ref="F1794:F1857" si="56">IF(OR(D1794="",E1794=""),"",E1794-D1794)</f>
        <v/>
      </c>
      <c r="G1794" t="str">
        <f t="shared" ref="G1794:G1857" si="57">IF(F1794="","",IF(F1794&gt;0,"ANO","NE"))</f>
        <v/>
      </c>
    </row>
    <row r="1795" spans="6:7" x14ac:dyDescent="0.2">
      <c r="F1795" t="str">
        <f t="shared" si="56"/>
        <v/>
      </c>
      <c r="G1795" t="str">
        <f t="shared" si="57"/>
        <v/>
      </c>
    </row>
    <row r="1796" spans="6:7" x14ac:dyDescent="0.2">
      <c r="F1796" t="str">
        <f t="shared" si="56"/>
        <v/>
      </c>
      <c r="G1796" t="str">
        <f t="shared" si="57"/>
        <v/>
      </c>
    </row>
    <row r="1797" spans="6:7" x14ac:dyDescent="0.2">
      <c r="F1797" t="str">
        <f t="shared" si="56"/>
        <v/>
      </c>
      <c r="G1797" t="str">
        <f t="shared" si="57"/>
        <v/>
      </c>
    </row>
    <row r="1798" spans="6:7" x14ac:dyDescent="0.2">
      <c r="F1798" t="str">
        <f t="shared" si="56"/>
        <v/>
      </c>
      <c r="G1798" t="str">
        <f t="shared" si="57"/>
        <v/>
      </c>
    </row>
    <row r="1799" spans="6:7" x14ac:dyDescent="0.2">
      <c r="F1799" t="str">
        <f t="shared" si="56"/>
        <v/>
      </c>
      <c r="G1799" t="str">
        <f t="shared" si="57"/>
        <v/>
      </c>
    </row>
    <row r="1800" spans="6:7" x14ac:dyDescent="0.2">
      <c r="F1800" t="str">
        <f t="shared" si="56"/>
        <v/>
      </c>
      <c r="G1800" t="str">
        <f t="shared" si="57"/>
        <v/>
      </c>
    </row>
    <row r="1801" spans="6:7" x14ac:dyDescent="0.2">
      <c r="F1801" t="str">
        <f t="shared" si="56"/>
        <v/>
      </c>
      <c r="G1801" t="str">
        <f t="shared" si="57"/>
        <v/>
      </c>
    </row>
    <row r="1802" spans="6:7" x14ac:dyDescent="0.2">
      <c r="F1802" t="str">
        <f t="shared" si="56"/>
        <v/>
      </c>
      <c r="G1802" t="str">
        <f t="shared" si="57"/>
        <v/>
      </c>
    </row>
    <row r="1803" spans="6:7" x14ac:dyDescent="0.2">
      <c r="F1803" t="str">
        <f t="shared" si="56"/>
        <v/>
      </c>
      <c r="G1803" t="str">
        <f t="shared" si="57"/>
        <v/>
      </c>
    </row>
    <row r="1804" spans="6:7" x14ac:dyDescent="0.2">
      <c r="F1804" t="str">
        <f t="shared" si="56"/>
        <v/>
      </c>
      <c r="G1804" t="str">
        <f t="shared" si="57"/>
        <v/>
      </c>
    </row>
    <row r="1805" spans="6:7" x14ac:dyDescent="0.2">
      <c r="F1805" t="str">
        <f t="shared" si="56"/>
        <v/>
      </c>
      <c r="G1805" t="str">
        <f t="shared" si="57"/>
        <v/>
      </c>
    </row>
    <row r="1806" spans="6:7" x14ac:dyDescent="0.2">
      <c r="F1806" t="str">
        <f t="shared" si="56"/>
        <v/>
      </c>
      <c r="G1806" t="str">
        <f t="shared" si="57"/>
        <v/>
      </c>
    </row>
    <row r="1807" spans="6:7" x14ac:dyDescent="0.2">
      <c r="F1807" t="str">
        <f t="shared" si="56"/>
        <v/>
      </c>
      <c r="G1807" t="str">
        <f t="shared" si="57"/>
        <v/>
      </c>
    </row>
    <row r="1808" spans="6:7" x14ac:dyDescent="0.2">
      <c r="F1808" t="str">
        <f t="shared" si="56"/>
        <v/>
      </c>
      <c r="G1808" t="str">
        <f t="shared" si="57"/>
        <v/>
      </c>
    </row>
    <row r="1809" spans="6:7" x14ac:dyDescent="0.2">
      <c r="F1809" t="str">
        <f t="shared" si="56"/>
        <v/>
      </c>
      <c r="G1809" t="str">
        <f t="shared" si="57"/>
        <v/>
      </c>
    </row>
    <row r="1810" spans="6:7" x14ac:dyDescent="0.2">
      <c r="F1810" t="str">
        <f t="shared" si="56"/>
        <v/>
      </c>
      <c r="G1810" t="str">
        <f t="shared" si="57"/>
        <v/>
      </c>
    </row>
    <row r="1811" spans="6:7" x14ac:dyDescent="0.2">
      <c r="F1811" t="str">
        <f t="shared" si="56"/>
        <v/>
      </c>
      <c r="G1811" t="str">
        <f t="shared" si="57"/>
        <v/>
      </c>
    </row>
    <row r="1812" spans="6:7" x14ac:dyDescent="0.2">
      <c r="F1812" t="str">
        <f t="shared" si="56"/>
        <v/>
      </c>
      <c r="G1812" t="str">
        <f t="shared" si="57"/>
        <v/>
      </c>
    </row>
    <row r="1813" spans="6:7" x14ac:dyDescent="0.2">
      <c r="F1813" t="str">
        <f t="shared" si="56"/>
        <v/>
      </c>
      <c r="G1813" t="str">
        <f t="shared" si="57"/>
        <v/>
      </c>
    </row>
    <row r="1814" spans="6:7" x14ac:dyDescent="0.2">
      <c r="F1814" t="str">
        <f t="shared" si="56"/>
        <v/>
      </c>
      <c r="G1814" t="str">
        <f t="shared" si="57"/>
        <v/>
      </c>
    </row>
    <row r="1815" spans="6:7" x14ac:dyDescent="0.2">
      <c r="F1815" t="str">
        <f t="shared" si="56"/>
        <v/>
      </c>
      <c r="G1815" t="str">
        <f t="shared" si="57"/>
        <v/>
      </c>
    </row>
    <row r="1816" spans="6:7" x14ac:dyDescent="0.2">
      <c r="F1816" t="str">
        <f t="shared" si="56"/>
        <v/>
      </c>
      <c r="G1816" t="str">
        <f t="shared" si="57"/>
        <v/>
      </c>
    </row>
    <row r="1817" spans="6:7" x14ac:dyDescent="0.2">
      <c r="F1817" t="str">
        <f t="shared" si="56"/>
        <v/>
      </c>
      <c r="G1817" t="str">
        <f t="shared" si="57"/>
        <v/>
      </c>
    </row>
    <row r="1818" spans="6:7" x14ac:dyDescent="0.2">
      <c r="F1818" t="str">
        <f t="shared" si="56"/>
        <v/>
      </c>
      <c r="G1818" t="str">
        <f t="shared" si="57"/>
        <v/>
      </c>
    </row>
    <row r="1819" spans="6:7" x14ac:dyDescent="0.2">
      <c r="F1819" t="str">
        <f t="shared" si="56"/>
        <v/>
      </c>
      <c r="G1819" t="str">
        <f t="shared" si="57"/>
        <v/>
      </c>
    </row>
    <row r="1820" spans="6:7" x14ac:dyDescent="0.2">
      <c r="F1820" t="str">
        <f t="shared" si="56"/>
        <v/>
      </c>
      <c r="G1820" t="str">
        <f t="shared" si="57"/>
        <v/>
      </c>
    </row>
    <row r="1821" spans="6:7" x14ac:dyDescent="0.2">
      <c r="F1821" t="str">
        <f t="shared" si="56"/>
        <v/>
      </c>
      <c r="G1821" t="str">
        <f t="shared" si="57"/>
        <v/>
      </c>
    </row>
    <row r="1822" spans="6:7" x14ac:dyDescent="0.2">
      <c r="F1822" t="str">
        <f t="shared" si="56"/>
        <v/>
      </c>
      <c r="G1822" t="str">
        <f t="shared" si="57"/>
        <v/>
      </c>
    </row>
    <row r="1823" spans="6:7" x14ac:dyDescent="0.2">
      <c r="F1823" t="str">
        <f t="shared" si="56"/>
        <v/>
      </c>
      <c r="G1823" t="str">
        <f t="shared" si="57"/>
        <v/>
      </c>
    </row>
    <row r="1824" spans="6:7" x14ac:dyDescent="0.2">
      <c r="F1824" t="str">
        <f t="shared" si="56"/>
        <v/>
      </c>
      <c r="G1824" t="str">
        <f t="shared" si="57"/>
        <v/>
      </c>
    </row>
    <row r="1825" spans="6:7" x14ac:dyDescent="0.2">
      <c r="F1825" t="str">
        <f t="shared" si="56"/>
        <v/>
      </c>
      <c r="G1825" t="str">
        <f t="shared" si="57"/>
        <v/>
      </c>
    </row>
    <row r="1826" spans="6:7" x14ac:dyDescent="0.2">
      <c r="F1826" t="str">
        <f t="shared" si="56"/>
        <v/>
      </c>
      <c r="G1826" t="str">
        <f t="shared" si="57"/>
        <v/>
      </c>
    </row>
    <row r="1827" spans="6:7" x14ac:dyDescent="0.2">
      <c r="F1827" t="str">
        <f t="shared" si="56"/>
        <v/>
      </c>
      <c r="G1827" t="str">
        <f t="shared" si="57"/>
        <v/>
      </c>
    </row>
    <row r="1828" spans="6:7" x14ac:dyDescent="0.2">
      <c r="F1828" t="str">
        <f t="shared" si="56"/>
        <v/>
      </c>
      <c r="G1828" t="str">
        <f t="shared" si="57"/>
        <v/>
      </c>
    </row>
    <row r="1829" spans="6:7" x14ac:dyDescent="0.2">
      <c r="F1829" t="str">
        <f t="shared" si="56"/>
        <v/>
      </c>
      <c r="G1829" t="str">
        <f t="shared" si="57"/>
        <v/>
      </c>
    </row>
    <row r="1830" spans="6:7" x14ac:dyDescent="0.2">
      <c r="F1830" t="str">
        <f t="shared" si="56"/>
        <v/>
      </c>
      <c r="G1830" t="str">
        <f t="shared" si="57"/>
        <v/>
      </c>
    </row>
    <row r="1831" spans="6:7" x14ac:dyDescent="0.2">
      <c r="F1831" t="str">
        <f t="shared" si="56"/>
        <v/>
      </c>
      <c r="G1831" t="str">
        <f t="shared" si="57"/>
        <v/>
      </c>
    </row>
    <row r="1832" spans="6:7" x14ac:dyDescent="0.2">
      <c r="F1832" t="str">
        <f t="shared" si="56"/>
        <v/>
      </c>
      <c r="G1832" t="str">
        <f t="shared" si="57"/>
        <v/>
      </c>
    </row>
    <row r="1833" spans="6:7" x14ac:dyDescent="0.2">
      <c r="F1833" t="str">
        <f t="shared" si="56"/>
        <v/>
      </c>
      <c r="G1833" t="str">
        <f t="shared" si="57"/>
        <v/>
      </c>
    </row>
    <row r="1834" spans="6:7" x14ac:dyDescent="0.2">
      <c r="F1834" t="str">
        <f t="shared" si="56"/>
        <v/>
      </c>
      <c r="G1834" t="str">
        <f t="shared" si="57"/>
        <v/>
      </c>
    </row>
    <row r="1835" spans="6:7" x14ac:dyDescent="0.2">
      <c r="F1835" t="str">
        <f t="shared" si="56"/>
        <v/>
      </c>
      <c r="G1835" t="str">
        <f t="shared" si="57"/>
        <v/>
      </c>
    </row>
    <row r="1836" spans="6:7" x14ac:dyDescent="0.2">
      <c r="F1836" t="str">
        <f t="shared" si="56"/>
        <v/>
      </c>
      <c r="G1836" t="str">
        <f t="shared" si="57"/>
        <v/>
      </c>
    </row>
    <row r="1837" spans="6:7" x14ac:dyDescent="0.2">
      <c r="F1837" t="str">
        <f t="shared" si="56"/>
        <v/>
      </c>
      <c r="G1837" t="str">
        <f t="shared" si="57"/>
        <v/>
      </c>
    </row>
    <row r="1838" spans="6:7" x14ac:dyDescent="0.2">
      <c r="F1838" t="str">
        <f t="shared" si="56"/>
        <v/>
      </c>
      <c r="G1838" t="str">
        <f t="shared" si="57"/>
        <v/>
      </c>
    </row>
    <row r="1839" spans="6:7" x14ac:dyDescent="0.2">
      <c r="F1839" t="str">
        <f t="shared" si="56"/>
        <v/>
      </c>
      <c r="G1839" t="str">
        <f t="shared" si="57"/>
        <v/>
      </c>
    </row>
    <row r="1840" spans="6:7" x14ac:dyDescent="0.2">
      <c r="F1840" t="str">
        <f t="shared" si="56"/>
        <v/>
      </c>
      <c r="G1840" t="str">
        <f t="shared" si="57"/>
        <v/>
      </c>
    </row>
    <row r="1841" spans="6:7" x14ac:dyDescent="0.2">
      <c r="F1841" t="str">
        <f t="shared" si="56"/>
        <v/>
      </c>
      <c r="G1841" t="str">
        <f t="shared" si="57"/>
        <v/>
      </c>
    </row>
    <row r="1842" spans="6:7" x14ac:dyDescent="0.2">
      <c r="F1842" t="str">
        <f t="shared" si="56"/>
        <v/>
      </c>
      <c r="G1842" t="str">
        <f t="shared" si="57"/>
        <v/>
      </c>
    </row>
    <row r="1843" spans="6:7" x14ac:dyDescent="0.2">
      <c r="F1843" t="str">
        <f t="shared" si="56"/>
        <v/>
      </c>
      <c r="G1843" t="str">
        <f t="shared" si="57"/>
        <v/>
      </c>
    </row>
    <row r="1844" spans="6:7" x14ac:dyDescent="0.2">
      <c r="F1844" t="str">
        <f t="shared" si="56"/>
        <v/>
      </c>
      <c r="G1844" t="str">
        <f t="shared" si="57"/>
        <v/>
      </c>
    </row>
    <row r="1845" spans="6:7" x14ac:dyDescent="0.2">
      <c r="F1845" t="str">
        <f t="shared" si="56"/>
        <v/>
      </c>
      <c r="G1845" t="str">
        <f t="shared" si="57"/>
        <v/>
      </c>
    </row>
    <row r="1846" spans="6:7" x14ac:dyDescent="0.2">
      <c r="F1846" t="str">
        <f t="shared" si="56"/>
        <v/>
      </c>
      <c r="G1846" t="str">
        <f t="shared" si="57"/>
        <v/>
      </c>
    </row>
    <row r="1847" spans="6:7" x14ac:dyDescent="0.2">
      <c r="F1847" t="str">
        <f t="shared" si="56"/>
        <v/>
      </c>
      <c r="G1847" t="str">
        <f t="shared" si="57"/>
        <v/>
      </c>
    </row>
    <row r="1848" spans="6:7" x14ac:dyDescent="0.2">
      <c r="F1848" t="str">
        <f t="shared" si="56"/>
        <v/>
      </c>
      <c r="G1848" t="str">
        <f t="shared" si="57"/>
        <v/>
      </c>
    </row>
    <row r="1849" spans="6:7" x14ac:dyDescent="0.2">
      <c r="F1849" t="str">
        <f t="shared" si="56"/>
        <v/>
      </c>
      <c r="G1849" t="str">
        <f t="shared" si="57"/>
        <v/>
      </c>
    </row>
    <row r="1850" spans="6:7" x14ac:dyDescent="0.2">
      <c r="F1850" t="str">
        <f t="shared" si="56"/>
        <v/>
      </c>
      <c r="G1850" t="str">
        <f t="shared" si="57"/>
        <v/>
      </c>
    </row>
    <row r="1851" spans="6:7" x14ac:dyDescent="0.2">
      <c r="F1851" t="str">
        <f t="shared" si="56"/>
        <v/>
      </c>
      <c r="G1851" t="str">
        <f t="shared" si="57"/>
        <v/>
      </c>
    </row>
    <row r="1852" spans="6:7" x14ac:dyDescent="0.2">
      <c r="F1852" t="str">
        <f t="shared" si="56"/>
        <v/>
      </c>
      <c r="G1852" t="str">
        <f t="shared" si="57"/>
        <v/>
      </c>
    </row>
    <row r="1853" spans="6:7" x14ac:dyDescent="0.2">
      <c r="F1853" t="str">
        <f t="shared" si="56"/>
        <v/>
      </c>
      <c r="G1853" t="str">
        <f t="shared" si="57"/>
        <v/>
      </c>
    </row>
    <row r="1854" spans="6:7" x14ac:dyDescent="0.2">
      <c r="F1854" t="str">
        <f t="shared" si="56"/>
        <v/>
      </c>
      <c r="G1854" t="str">
        <f t="shared" si="57"/>
        <v/>
      </c>
    </row>
    <row r="1855" spans="6:7" x14ac:dyDescent="0.2">
      <c r="F1855" t="str">
        <f t="shared" si="56"/>
        <v/>
      </c>
      <c r="G1855" t="str">
        <f t="shared" si="57"/>
        <v/>
      </c>
    </row>
    <row r="1856" spans="6:7" x14ac:dyDescent="0.2">
      <c r="F1856" t="str">
        <f t="shared" si="56"/>
        <v/>
      </c>
      <c r="G1856" t="str">
        <f t="shared" si="57"/>
        <v/>
      </c>
    </row>
    <row r="1857" spans="6:7" x14ac:dyDescent="0.2">
      <c r="F1857" t="str">
        <f t="shared" si="56"/>
        <v/>
      </c>
      <c r="G1857" t="str">
        <f t="shared" si="57"/>
        <v/>
      </c>
    </row>
    <row r="1858" spans="6:7" x14ac:dyDescent="0.2">
      <c r="F1858" t="str">
        <f t="shared" ref="F1858:F1921" si="58">IF(OR(D1858="",E1858=""),"",E1858-D1858)</f>
        <v/>
      </c>
      <c r="G1858" t="str">
        <f t="shared" ref="G1858:G1921" si="59">IF(F1858="","",IF(F1858&gt;0,"ANO","NE"))</f>
        <v/>
      </c>
    </row>
    <row r="1859" spans="6:7" x14ac:dyDescent="0.2">
      <c r="F1859" t="str">
        <f t="shared" si="58"/>
        <v/>
      </c>
      <c r="G1859" t="str">
        <f t="shared" si="59"/>
        <v/>
      </c>
    </row>
    <row r="1860" spans="6:7" x14ac:dyDescent="0.2">
      <c r="F1860" t="str">
        <f t="shared" si="58"/>
        <v/>
      </c>
      <c r="G1860" t="str">
        <f t="shared" si="59"/>
        <v/>
      </c>
    </row>
    <row r="1861" spans="6:7" x14ac:dyDescent="0.2">
      <c r="F1861" t="str">
        <f t="shared" si="58"/>
        <v/>
      </c>
      <c r="G1861" t="str">
        <f t="shared" si="59"/>
        <v/>
      </c>
    </row>
    <row r="1862" spans="6:7" x14ac:dyDescent="0.2">
      <c r="F1862" t="str">
        <f t="shared" si="58"/>
        <v/>
      </c>
      <c r="G1862" t="str">
        <f t="shared" si="59"/>
        <v/>
      </c>
    </row>
    <row r="1863" spans="6:7" x14ac:dyDescent="0.2">
      <c r="F1863" t="str">
        <f t="shared" si="58"/>
        <v/>
      </c>
      <c r="G1863" t="str">
        <f t="shared" si="59"/>
        <v/>
      </c>
    </row>
    <row r="1864" spans="6:7" x14ac:dyDescent="0.2">
      <c r="F1864" t="str">
        <f t="shared" si="58"/>
        <v/>
      </c>
      <c r="G1864" t="str">
        <f t="shared" si="59"/>
        <v/>
      </c>
    </row>
    <row r="1865" spans="6:7" x14ac:dyDescent="0.2">
      <c r="F1865" t="str">
        <f t="shared" si="58"/>
        <v/>
      </c>
      <c r="G1865" t="str">
        <f t="shared" si="59"/>
        <v/>
      </c>
    </row>
    <row r="1866" spans="6:7" x14ac:dyDescent="0.2">
      <c r="F1866" t="str">
        <f t="shared" si="58"/>
        <v/>
      </c>
      <c r="G1866" t="str">
        <f t="shared" si="59"/>
        <v/>
      </c>
    </row>
    <row r="1867" spans="6:7" x14ac:dyDescent="0.2">
      <c r="F1867" t="str">
        <f t="shared" si="58"/>
        <v/>
      </c>
      <c r="G1867" t="str">
        <f t="shared" si="59"/>
        <v/>
      </c>
    </row>
    <row r="1868" spans="6:7" x14ac:dyDescent="0.2">
      <c r="F1868" t="str">
        <f t="shared" si="58"/>
        <v/>
      </c>
      <c r="G1868" t="str">
        <f t="shared" si="59"/>
        <v/>
      </c>
    </row>
    <row r="1869" spans="6:7" x14ac:dyDescent="0.2">
      <c r="F1869" t="str">
        <f t="shared" si="58"/>
        <v/>
      </c>
      <c r="G1869" t="str">
        <f t="shared" si="59"/>
        <v/>
      </c>
    </row>
    <row r="1870" spans="6:7" x14ac:dyDescent="0.2">
      <c r="F1870" t="str">
        <f t="shared" si="58"/>
        <v/>
      </c>
      <c r="G1870" t="str">
        <f t="shared" si="59"/>
        <v/>
      </c>
    </row>
    <row r="1871" spans="6:7" x14ac:dyDescent="0.2">
      <c r="F1871" t="str">
        <f t="shared" si="58"/>
        <v/>
      </c>
      <c r="G1871" t="str">
        <f t="shared" si="59"/>
        <v/>
      </c>
    </row>
    <row r="1872" spans="6:7" x14ac:dyDescent="0.2">
      <c r="F1872" t="str">
        <f t="shared" si="58"/>
        <v/>
      </c>
      <c r="G1872" t="str">
        <f t="shared" si="59"/>
        <v/>
      </c>
    </row>
    <row r="1873" spans="6:7" x14ac:dyDescent="0.2">
      <c r="F1873" t="str">
        <f t="shared" si="58"/>
        <v/>
      </c>
      <c r="G1873" t="str">
        <f t="shared" si="59"/>
        <v/>
      </c>
    </row>
    <row r="1874" spans="6:7" x14ac:dyDescent="0.2">
      <c r="F1874" t="str">
        <f t="shared" si="58"/>
        <v/>
      </c>
      <c r="G1874" t="str">
        <f t="shared" si="59"/>
        <v/>
      </c>
    </row>
    <row r="1875" spans="6:7" x14ac:dyDescent="0.2">
      <c r="F1875" t="str">
        <f t="shared" si="58"/>
        <v/>
      </c>
      <c r="G1875" t="str">
        <f t="shared" si="59"/>
        <v/>
      </c>
    </row>
    <row r="1876" spans="6:7" x14ac:dyDescent="0.2">
      <c r="F1876" t="str">
        <f t="shared" si="58"/>
        <v/>
      </c>
      <c r="G1876" t="str">
        <f t="shared" si="59"/>
        <v/>
      </c>
    </row>
    <row r="1877" spans="6:7" x14ac:dyDescent="0.2">
      <c r="F1877" t="str">
        <f t="shared" si="58"/>
        <v/>
      </c>
      <c r="G1877" t="str">
        <f t="shared" si="59"/>
        <v/>
      </c>
    </row>
    <row r="1878" spans="6:7" x14ac:dyDescent="0.2">
      <c r="F1878" t="str">
        <f t="shared" si="58"/>
        <v/>
      </c>
      <c r="G1878" t="str">
        <f t="shared" si="59"/>
        <v/>
      </c>
    </row>
    <row r="1879" spans="6:7" x14ac:dyDescent="0.2">
      <c r="F1879" t="str">
        <f t="shared" si="58"/>
        <v/>
      </c>
      <c r="G1879" t="str">
        <f t="shared" si="59"/>
        <v/>
      </c>
    </row>
    <row r="1880" spans="6:7" x14ac:dyDescent="0.2">
      <c r="F1880" t="str">
        <f t="shared" si="58"/>
        <v/>
      </c>
      <c r="G1880" t="str">
        <f t="shared" si="59"/>
        <v/>
      </c>
    </row>
    <row r="1881" spans="6:7" x14ac:dyDescent="0.2">
      <c r="F1881" t="str">
        <f t="shared" si="58"/>
        <v/>
      </c>
      <c r="G1881" t="str">
        <f t="shared" si="59"/>
        <v/>
      </c>
    </row>
    <row r="1882" spans="6:7" x14ac:dyDescent="0.2">
      <c r="F1882" t="str">
        <f t="shared" si="58"/>
        <v/>
      </c>
      <c r="G1882" t="str">
        <f t="shared" si="59"/>
        <v/>
      </c>
    </row>
    <row r="1883" spans="6:7" x14ac:dyDescent="0.2">
      <c r="F1883" t="str">
        <f t="shared" si="58"/>
        <v/>
      </c>
      <c r="G1883" t="str">
        <f t="shared" si="59"/>
        <v/>
      </c>
    </row>
    <row r="1884" spans="6:7" x14ac:dyDescent="0.2">
      <c r="F1884" t="str">
        <f t="shared" si="58"/>
        <v/>
      </c>
      <c r="G1884" t="str">
        <f t="shared" si="59"/>
        <v/>
      </c>
    </row>
    <row r="1885" spans="6:7" x14ac:dyDescent="0.2">
      <c r="F1885" t="str">
        <f t="shared" si="58"/>
        <v/>
      </c>
      <c r="G1885" t="str">
        <f t="shared" si="59"/>
        <v/>
      </c>
    </row>
    <row r="1886" spans="6:7" x14ac:dyDescent="0.2">
      <c r="F1886" t="str">
        <f t="shared" si="58"/>
        <v/>
      </c>
      <c r="G1886" t="str">
        <f t="shared" si="59"/>
        <v/>
      </c>
    </row>
    <row r="1887" spans="6:7" x14ac:dyDescent="0.2">
      <c r="F1887" t="str">
        <f t="shared" si="58"/>
        <v/>
      </c>
      <c r="G1887" t="str">
        <f t="shared" si="59"/>
        <v/>
      </c>
    </row>
    <row r="1888" spans="6:7" x14ac:dyDescent="0.2">
      <c r="F1888" t="str">
        <f t="shared" si="58"/>
        <v/>
      </c>
      <c r="G1888" t="str">
        <f t="shared" si="59"/>
        <v/>
      </c>
    </row>
    <row r="1889" spans="6:7" x14ac:dyDescent="0.2">
      <c r="F1889" t="str">
        <f t="shared" si="58"/>
        <v/>
      </c>
      <c r="G1889" t="str">
        <f t="shared" si="59"/>
        <v/>
      </c>
    </row>
    <row r="1890" spans="6:7" x14ac:dyDescent="0.2">
      <c r="F1890" t="str">
        <f t="shared" si="58"/>
        <v/>
      </c>
      <c r="G1890" t="str">
        <f t="shared" si="59"/>
        <v/>
      </c>
    </row>
    <row r="1891" spans="6:7" x14ac:dyDescent="0.2">
      <c r="F1891" t="str">
        <f t="shared" si="58"/>
        <v/>
      </c>
      <c r="G1891" t="str">
        <f t="shared" si="59"/>
        <v/>
      </c>
    </row>
    <row r="1892" spans="6:7" x14ac:dyDescent="0.2">
      <c r="F1892" t="str">
        <f t="shared" si="58"/>
        <v/>
      </c>
      <c r="G1892" t="str">
        <f t="shared" si="59"/>
        <v/>
      </c>
    </row>
    <row r="1893" spans="6:7" x14ac:dyDescent="0.2">
      <c r="F1893" t="str">
        <f t="shared" si="58"/>
        <v/>
      </c>
      <c r="G1893" t="str">
        <f t="shared" si="59"/>
        <v/>
      </c>
    </row>
    <row r="1894" spans="6:7" x14ac:dyDescent="0.2">
      <c r="F1894" t="str">
        <f t="shared" si="58"/>
        <v/>
      </c>
      <c r="G1894" t="str">
        <f t="shared" si="59"/>
        <v/>
      </c>
    </row>
    <row r="1895" spans="6:7" x14ac:dyDescent="0.2">
      <c r="F1895" t="str">
        <f t="shared" si="58"/>
        <v/>
      </c>
      <c r="G1895" t="str">
        <f t="shared" si="59"/>
        <v/>
      </c>
    </row>
    <row r="1896" spans="6:7" x14ac:dyDescent="0.2">
      <c r="F1896" t="str">
        <f t="shared" si="58"/>
        <v/>
      </c>
      <c r="G1896" t="str">
        <f t="shared" si="59"/>
        <v/>
      </c>
    </row>
    <row r="1897" spans="6:7" x14ac:dyDescent="0.2">
      <c r="F1897" t="str">
        <f t="shared" si="58"/>
        <v/>
      </c>
      <c r="G1897" t="str">
        <f t="shared" si="59"/>
        <v/>
      </c>
    </row>
    <row r="1898" spans="6:7" x14ac:dyDescent="0.2">
      <c r="F1898" t="str">
        <f t="shared" si="58"/>
        <v/>
      </c>
      <c r="G1898" t="str">
        <f t="shared" si="59"/>
        <v/>
      </c>
    </row>
    <row r="1899" spans="6:7" x14ac:dyDescent="0.2">
      <c r="F1899" t="str">
        <f t="shared" si="58"/>
        <v/>
      </c>
      <c r="G1899" t="str">
        <f t="shared" si="59"/>
        <v/>
      </c>
    </row>
    <row r="1900" spans="6:7" x14ac:dyDescent="0.2">
      <c r="F1900" t="str">
        <f t="shared" si="58"/>
        <v/>
      </c>
      <c r="G1900" t="str">
        <f t="shared" si="59"/>
        <v/>
      </c>
    </row>
    <row r="1901" spans="6:7" x14ac:dyDescent="0.2">
      <c r="F1901" t="str">
        <f t="shared" si="58"/>
        <v/>
      </c>
      <c r="G1901" t="str">
        <f t="shared" si="59"/>
        <v/>
      </c>
    </row>
    <row r="1902" spans="6:7" x14ac:dyDescent="0.2">
      <c r="F1902" t="str">
        <f t="shared" si="58"/>
        <v/>
      </c>
      <c r="G1902" t="str">
        <f t="shared" si="59"/>
        <v/>
      </c>
    </row>
    <row r="1903" spans="6:7" x14ac:dyDescent="0.2">
      <c r="F1903" t="str">
        <f t="shared" si="58"/>
        <v/>
      </c>
      <c r="G1903" t="str">
        <f t="shared" si="59"/>
        <v/>
      </c>
    </row>
    <row r="1904" spans="6:7" x14ac:dyDescent="0.2">
      <c r="F1904" t="str">
        <f t="shared" si="58"/>
        <v/>
      </c>
      <c r="G1904" t="str">
        <f t="shared" si="59"/>
        <v/>
      </c>
    </row>
    <row r="1905" spans="6:7" x14ac:dyDescent="0.2">
      <c r="F1905" t="str">
        <f t="shared" si="58"/>
        <v/>
      </c>
      <c r="G1905" t="str">
        <f t="shared" si="59"/>
        <v/>
      </c>
    </row>
    <row r="1906" spans="6:7" x14ac:dyDescent="0.2">
      <c r="F1906" t="str">
        <f t="shared" si="58"/>
        <v/>
      </c>
      <c r="G1906" t="str">
        <f t="shared" si="59"/>
        <v/>
      </c>
    </row>
    <row r="1907" spans="6:7" x14ac:dyDescent="0.2">
      <c r="F1907" t="str">
        <f t="shared" si="58"/>
        <v/>
      </c>
      <c r="G1907" t="str">
        <f t="shared" si="59"/>
        <v/>
      </c>
    </row>
    <row r="1908" spans="6:7" x14ac:dyDescent="0.2">
      <c r="F1908" t="str">
        <f t="shared" si="58"/>
        <v/>
      </c>
      <c r="G1908" t="str">
        <f t="shared" si="59"/>
        <v/>
      </c>
    </row>
    <row r="1909" spans="6:7" x14ac:dyDescent="0.2">
      <c r="F1909" t="str">
        <f t="shared" si="58"/>
        <v/>
      </c>
      <c r="G1909" t="str">
        <f t="shared" si="59"/>
        <v/>
      </c>
    </row>
    <row r="1910" spans="6:7" x14ac:dyDescent="0.2">
      <c r="F1910" t="str">
        <f t="shared" si="58"/>
        <v/>
      </c>
      <c r="G1910" t="str">
        <f t="shared" si="59"/>
        <v/>
      </c>
    </row>
    <row r="1911" spans="6:7" x14ac:dyDescent="0.2">
      <c r="F1911" t="str">
        <f t="shared" si="58"/>
        <v/>
      </c>
      <c r="G1911" t="str">
        <f t="shared" si="59"/>
        <v/>
      </c>
    </row>
    <row r="1912" spans="6:7" x14ac:dyDescent="0.2">
      <c r="F1912" t="str">
        <f t="shared" si="58"/>
        <v/>
      </c>
      <c r="G1912" t="str">
        <f t="shared" si="59"/>
        <v/>
      </c>
    </row>
    <row r="1913" spans="6:7" x14ac:dyDescent="0.2">
      <c r="F1913" t="str">
        <f t="shared" si="58"/>
        <v/>
      </c>
      <c r="G1913" t="str">
        <f t="shared" si="59"/>
        <v/>
      </c>
    </row>
    <row r="1914" spans="6:7" x14ac:dyDescent="0.2">
      <c r="F1914" t="str">
        <f t="shared" si="58"/>
        <v/>
      </c>
      <c r="G1914" t="str">
        <f t="shared" si="59"/>
        <v/>
      </c>
    </row>
    <row r="1915" spans="6:7" x14ac:dyDescent="0.2">
      <c r="F1915" t="str">
        <f t="shared" si="58"/>
        <v/>
      </c>
      <c r="G1915" t="str">
        <f t="shared" si="59"/>
        <v/>
      </c>
    </row>
    <row r="1916" spans="6:7" x14ac:dyDescent="0.2">
      <c r="F1916" t="str">
        <f t="shared" si="58"/>
        <v/>
      </c>
      <c r="G1916" t="str">
        <f t="shared" si="59"/>
        <v/>
      </c>
    </row>
    <row r="1917" spans="6:7" x14ac:dyDescent="0.2">
      <c r="F1917" t="str">
        <f t="shared" si="58"/>
        <v/>
      </c>
      <c r="G1917" t="str">
        <f t="shared" si="59"/>
        <v/>
      </c>
    </row>
    <row r="1918" spans="6:7" x14ac:dyDescent="0.2">
      <c r="F1918" t="str">
        <f t="shared" si="58"/>
        <v/>
      </c>
      <c r="G1918" t="str">
        <f t="shared" si="59"/>
        <v/>
      </c>
    </row>
    <row r="1919" spans="6:7" x14ac:dyDescent="0.2">
      <c r="F1919" t="str">
        <f t="shared" si="58"/>
        <v/>
      </c>
      <c r="G1919" t="str">
        <f t="shared" si="59"/>
        <v/>
      </c>
    </row>
    <row r="1920" spans="6:7" x14ac:dyDescent="0.2">
      <c r="F1920" t="str">
        <f t="shared" si="58"/>
        <v/>
      </c>
      <c r="G1920" t="str">
        <f t="shared" si="59"/>
        <v/>
      </c>
    </row>
    <row r="1921" spans="6:7" x14ac:dyDescent="0.2">
      <c r="F1921" t="str">
        <f t="shared" si="58"/>
        <v/>
      </c>
      <c r="G1921" t="str">
        <f t="shared" si="59"/>
        <v/>
      </c>
    </row>
    <row r="1922" spans="6:7" x14ac:dyDescent="0.2">
      <c r="F1922" t="str">
        <f t="shared" ref="F1922:F1985" si="60">IF(OR(D1922="",E1922=""),"",E1922-D1922)</f>
        <v/>
      </c>
      <c r="G1922" t="str">
        <f t="shared" ref="G1922:G1985" si="61">IF(F1922="","",IF(F1922&gt;0,"ANO","NE"))</f>
        <v/>
      </c>
    </row>
    <row r="1923" spans="6:7" x14ac:dyDescent="0.2">
      <c r="F1923" t="str">
        <f t="shared" si="60"/>
        <v/>
      </c>
      <c r="G1923" t="str">
        <f t="shared" si="61"/>
        <v/>
      </c>
    </row>
    <row r="1924" spans="6:7" x14ac:dyDescent="0.2">
      <c r="F1924" t="str">
        <f t="shared" si="60"/>
        <v/>
      </c>
      <c r="G1924" t="str">
        <f t="shared" si="61"/>
        <v/>
      </c>
    </row>
    <row r="1925" spans="6:7" x14ac:dyDescent="0.2">
      <c r="F1925" t="str">
        <f t="shared" si="60"/>
        <v/>
      </c>
      <c r="G1925" t="str">
        <f t="shared" si="61"/>
        <v/>
      </c>
    </row>
    <row r="1926" spans="6:7" x14ac:dyDescent="0.2">
      <c r="F1926" t="str">
        <f t="shared" si="60"/>
        <v/>
      </c>
      <c r="G1926" t="str">
        <f t="shared" si="61"/>
        <v/>
      </c>
    </row>
    <row r="1927" spans="6:7" x14ac:dyDescent="0.2">
      <c r="F1927" t="str">
        <f t="shared" si="60"/>
        <v/>
      </c>
      <c r="G1927" t="str">
        <f t="shared" si="61"/>
        <v/>
      </c>
    </row>
    <row r="1928" spans="6:7" x14ac:dyDescent="0.2">
      <c r="F1928" t="str">
        <f t="shared" si="60"/>
        <v/>
      </c>
      <c r="G1928" t="str">
        <f t="shared" si="61"/>
        <v/>
      </c>
    </row>
    <row r="1929" spans="6:7" x14ac:dyDescent="0.2">
      <c r="F1929" t="str">
        <f t="shared" si="60"/>
        <v/>
      </c>
      <c r="G1929" t="str">
        <f t="shared" si="61"/>
        <v/>
      </c>
    </row>
    <row r="1930" spans="6:7" x14ac:dyDescent="0.2">
      <c r="F1930" t="str">
        <f t="shared" si="60"/>
        <v/>
      </c>
      <c r="G1930" t="str">
        <f t="shared" si="61"/>
        <v/>
      </c>
    </row>
    <row r="1931" spans="6:7" x14ac:dyDescent="0.2">
      <c r="F1931" t="str">
        <f t="shared" si="60"/>
        <v/>
      </c>
      <c r="G1931" t="str">
        <f t="shared" si="61"/>
        <v/>
      </c>
    </row>
    <row r="1932" spans="6:7" x14ac:dyDescent="0.2">
      <c r="F1932" t="str">
        <f t="shared" si="60"/>
        <v/>
      </c>
      <c r="G1932" t="str">
        <f t="shared" si="61"/>
        <v/>
      </c>
    </row>
    <row r="1933" spans="6:7" x14ac:dyDescent="0.2">
      <c r="F1933" t="str">
        <f t="shared" si="60"/>
        <v/>
      </c>
      <c r="G1933" t="str">
        <f t="shared" si="61"/>
        <v/>
      </c>
    </row>
    <row r="1934" spans="6:7" x14ac:dyDescent="0.2">
      <c r="F1934" t="str">
        <f t="shared" si="60"/>
        <v/>
      </c>
      <c r="G1934" t="str">
        <f t="shared" si="61"/>
        <v/>
      </c>
    </row>
    <row r="1935" spans="6:7" x14ac:dyDescent="0.2">
      <c r="F1935" t="str">
        <f t="shared" si="60"/>
        <v/>
      </c>
      <c r="G1935" t="str">
        <f t="shared" si="61"/>
        <v/>
      </c>
    </row>
    <row r="1936" spans="6:7" x14ac:dyDescent="0.2">
      <c r="F1936" t="str">
        <f t="shared" si="60"/>
        <v/>
      </c>
      <c r="G1936" t="str">
        <f t="shared" si="61"/>
        <v/>
      </c>
    </row>
    <row r="1937" spans="6:7" x14ac:dyDescent="0.2">
      <c r="F1937" t="str">
        <f t="shared" si="60"/>
        <v/>
      </c>
      <c r="G1937" t="str">
        <f t="shared" si="61"/>
        <v/>
      </c>
    </row>
    <row r="1938" spans="6:7" x14ac:dyDescent="0.2">
      <c r="F1938" t="str">
        <f t="shared" si="60"/>
        <v/>
      </c>
      <c r="G1938" t="str">
        <f t="shared" si="61"/>
        <v/>
      </c>
    </row>
    <row r="1939" spans="6:7" x14ac:dyDescent="0.2">
      <c r="F1939" t="str">
        <f t="shared" si="60"/>
        <v/>
      </c>
      <c r="G1939" t="str">
        <f t="shared" si="61"/>
        <v/>
      </c>
    </row>
    <row r="1940" spans="6:7" x14ac:dyDescent="0.2">
      <c r="F1940" t="str">
        <f t="shared" si="60"/>
        <v/>
      </c>
      <c r="G1940" t="str">
        <f t="shared" si="61"/>
        <v/>
      </c>
    </row>
    <row r="1941" spans="6:7" x14ac:dyDescent="0.2">
      <c r="F1941" t="str">
        <f t="shared" si="60"/>
        <v/>
      </c>
      <c r="G1941" t="str">
        <f t="shared" si="61"/>
        <v/>
      </c>
    </row>
    <row r="1942" spans="6:7" x14ac:dyDescent="0.2">
      <c r="F1942" t="str">
        <f t="shared" si="60"/>
        <v/>
      </c>
      <c r="G1942" t="str">
        <f t="shared" si="61"/>
        <v/>
      </c>
    </row>
    <row r="1943" spans="6:7" x14ac:dyDescent="0.2">
      <c r="F1943" t="str">
        <f t="shared" si="60"/>
        <v/>
      </c>
      <c r="G1943" t="str">
        <f t="shared" si="61"/>
        <v/>
      </c>
    </row>
    <row r="1944" spans="6:7" x14ac:dyDescent="0.2">
      <c r="F1944" t="str">
        <f t="shared" si="60"/>
        <v/>
      </c>
      <c r="G1944" t="str">
        <f t="shared" si="61"/>
        <v/>
      </c>
    </row>
    <row r="1945" spans="6:7" x14ac:dyDescent="0.2">
      <c r="F1945" t="str">
        <f t="shared" si="60"/>
        <v/>
      </c>
      <c r="G1945" t="str">
        <f t="shared" si="61"/>
        <v/>
      </c>
    </row>
    <row r="1946" spans="6:7" x14ac:dyDescent="0.2">
      <c r="F1946" t="str">
        <f t="shared" si="60"/>
        <v/>
      </c>
      <c r="G1946" t="str">
        <f t="shared" si="61"/>
        <v/>
      </c>
    </row>
    <row r="1947" spans="6:7" x14ac:dyDescent="0.2">
      <c r="F1947" t="str">
        <f t="shared" si="60"/>
        <v/>
      </c>
      <c r="G1947" t="str">
        <f t="shared" si="61"/>
        <v/>
      </c>
    </row>
    <row r="1948" spans="6:7" x14ac:dyDescent="0.2">
      <c r="F1948" t="str">
        <f t="shared" si="60"/>
        <v/>
      </c>
      <c r="G1948" t="str">
        <f t="shared" si="61"/>
        <v/>
      </c>
    </row>
    <row r="1949" spans="6:7" x14ac:dyDescent="0.2">
      <c r="F1949" t="str">
        <f t="shared" si="60"/>
        <v/>
      </c>
      <c r="G1949" t="str">
        <f t="shared" si="61"/>
        <v/>
      </c>
    </row>
    <row r="1950" spans="6:7" x14ac:dyDescent="0.2">
      <c r="F1950" t="str">
        <f t="shared" si="60"/>
        <v/>
      </c>
      <c r="G1950" t="str">
        <f t="shared" si="61"/>
        <v/>
      </c>
    </row>
    <row r="1951" spans="6:7" x14ac:dyDescent="0.2">
      <c r="F1951" t="str">
        <f t="shared" si="60"/>
        <v/>
      </c>
      <c r="G1951" t="str">
        <f t="shared" si="61"/>
        <v/>
      </c>
    </row>
    <row r="1952" spans="6:7" x14ac:dyDescent="0.2">
      <c r="F1952" t="str">
        <f t="shared" si="60"/>
        <v/>
      </c>
      <c r="G1952" t="str">
        <f t="shared" si="61"/>
        <v/>
      </c>
    </row>
    <row r="1953" spans="6:7" x14ac:dyDescent="0.2">
      <c r="F1953" t="str">
        <f t="shared" si="60"/>
        <v/>
      </c>
      <c r="G1953" t="str">
        <f t="shared" si="61"/>
        <v/>
      </c>
    </row>
    <row r="1954" spans="6:7" x14ac:dyDescent="0.2">
      <c r="F1954" t="str">
        <f t="shared" si="60"/>
        <v/>
      </c>
      <c r="G1954" t="str">
        <f t="shared" si="61"/>
        <v/>
      </c>
    </row>
    <row r="1955" spans="6:7" x14ac:dyDescent="0.2">
      <c r="F1955" t="str">
        <f t="shared" si="60"/>
        <v/>
      </c>
      <c r="G1955" t="str">
        <f t="shared" si="61"/>
        <v/>
      </c>
    </row>
    <row r="1956" spans="6:7" x14ac:dyDescent="0.2">
      <c r="F1956" t="str">
        <f t="shared" si="60"/>
        <v/>
      </c>
      <c r="G1956" t="str">
        <f t="shared" si="61"/>
        <v/>
      </c>
    </row>
    <row r="1957" spans="6:7" x14ac:dyDescent="0.2">
      <c r="F1957" t="str">
        <f t="shared" si="60"/>
        <v/>
      </c>
      <c r="G1957" t="str">
        <f t="shared" si="61"/>
        <v/>
      </c>
    </row>
    <row r="1958" spans="6:7" x14ac:dyDescent="0.2">
      <c r="F1958" t="str">
        <f t="shared" si="60"/>
        <v/>
      </c>
      <c r="G1958" t="str">
        <f t="shared" si="61"/>
        <v/>
      </c>
    </row>
    <row r="1959" spans="6:7" x14ac:dyDescent="0.2">
      <c r="F1959" t="str">
        <f t="shared" si="60"/>
        <v/>
      </c>
      <c r="G1959" t="str">
        <f t="shared" si="61"/>
        <v/>
      </c>
    </row>
    <row r="1960" spans="6:7" x14ac:dyDescent="0.2">
      <c r="F1960" t="str">
        <f t="shared" si="60"/>
        <v/>
      </c>
      <c r="G1960" t="str">
        <f t="shared" si="61"/>
        <v/>
      </c>
    </row>
    <row r="1961" spans="6:7" x14ac:dyDescent="0.2">
      <c r="F1961" t="str">
        <f t="shared" si="60"/>
        <v/>
      </c>
      <c r="G1961" t="str">
        <f t="shared" si="61"/>
        <v/>
      </c>
    </row>
    <row r="1962" spans="6:7" x14ac:dyDescent="0.2">
      <c r="F1962" t="str">
        <f t="shared" si="60"/>
        <v/>
      </c>
      <c r="G1962" t="str">
        <f t="shared" si="61"/>
        <v/>
      </c>
    </row>
    <row r="1963" spans="6:7" x14ac:dyDescent="0.2">
      <c r="F1963" t="str">
        <f t="shared" si="60"/>
        <v/>
      </c>
      <c r="G1963" t="str">
        <f t="shared" si="61"/>
        <v/>
      </c>
    </row>
    <row r="1964" spans="6:7" x14ac:dyDescent="0.2">
      <c r="F1964" t="str">
        <f t="shared" si="60"/>
        <v/>
      </c>
      <c r="G1964" t="str">
        <f t="shared" si="61"/>
        <v/>
      </c>
    </row>
    <row r="1965" spans="6:7" x14ac:dyDescent="0.2">
      <c r="F1965" t="str">
        <f t="shared" si="60"/>
        <v/>
      </c>
      <c r="G1965" t="str">
        <f t="shared" si="61"/>
        <v/>
      </c>
    </row>
    <row r="1966" spans="6:7" x14ac:dyDescent="0.2">
      <c r="F1966" t="str">
        <f t="shared" si="60"/>
        <v/>
      </c>
      <c r="G1966" t="str">
        <f t="shared" si="61"/>
        <v/>
      </c>
    </row>
    <row r="1967" spans="6:7" x14ac:dyDescent="0.2">
      <c r="F1967" t="str">
        <f t="shared" si="60"/>
        <v/>
      </c>
      <c r="G1967" t="str">
        <f t="shared" si="61"/>
        <v/>
      </c>
    </row>
    <row r="1968" spans="6:7" x14ac:dyDescent="0.2">
      <c r="F1968" t="str">
        <f t="shared" si="60"/>
        <v/>
      </c>
      <c r="G1968" t="str">
        <f t="shared" si="61"/>
        <v/>
      </c>
    </row>
    <row r="1969" spans="6:7" x14ac:dyDescent="0.2">
      <c r="F1969" t="str">
        <f t="shared" si="60"/>
        <v/>
      </c>
      <c r="G1969" t="str">
        <f t="shared" si="61"/>
        <v/>
      </c>
    </row>
    <row r="1970" spans="6:7" x14ac:dyDescent="0.2">
      <c r="F1970" t="str">
        <f t="shared" si="60"/>
        <v/>
      </c>
      <c r="G1970" t="str">
        <f t="shared" si="61"/>
        <v/>
      </c>
    </row>
    <row r="1971" spans="6:7" x14ac:dyDescent="0.2">
      <c r="F1971" t="str">
        <f t="shared" si="60"/>
        <v/>
      </c>
      <c r="G1971" t="str">
        <f t="shared" si="61"/>
        <v/>
      </c>
    </row>
    <row r="1972" spans="6:7" x14ac:dyDescent="0.2">
      <c r="F1972" t="str">
        <f t="shared" si="60"/>
        <v/>
      </c>
      <c r="G1972" t="str">
        <f t="shared" si="61"/>
        <v/>
      </c>
    </row>
    <row r="1973" spans="6:7" x14ac:dyDescent="0.2">
      <c r="F1973" t="str">
        <f t="shared" si="60"/>
        <v/>
      </c>
      <c r="G1973" t="str">
        <f t="shared" si="61"/>
        <v/>
      </c>
    </row>
    <row r="1974" spans="6:7" x14ac:dyDescent="0.2">
      <c r="F1974" t="str">
        <f t="shared" si="60"/>
        <v/>
      </c>
      <c r="G1974" t="str">
        <f t="shared" si="61"/>
        <v/>
      </c>
    </row>
    <row r="1975" spans="6:7" x14ac:dyDescent="0.2">
      <c r="F1975" t="str">
        <f t="shared" si="60"/>
        <v/>
      </c>
      <c r="G1975" t="str">
        <f t="shared" si="61"/>
        <v/>
      </c>
    </row>
    <row r="1976" spans="6:7" x14ac:dyDescent="0.2">
      <c r="F1976" t="str">
        <f t="shared" si="60"/>
        <v/>
      </c>
      <c r="G1976" t="str">
        <f t="shared" si="61"/>
        <v/>
      </c>
    </row>
    <row r="1977" spans="6:7" x14ac:dyDescent="0.2">
      <c r="F1977" t="str">
        <f t="shared" si="60"/>
        <v/>
      </c>
      <c r="G1977" t="str">
        <f t="shared" si="61"/>
        <v/>
      </c>
    </row>
    <row r="1978" spans="6:7" x14ac:dyDescent="0.2">
      <c r="F1978" t="str">
        <f t="shared" si="60"/>
        <v/>
      </c>
      <c r="G1978" t="str">
        <f t="shared" si="61"/>
        <v/>
      </c>
    </row>
    <row r="1979" spans="6:7" x14ac:dyDescent="0.2">
      <c r="F1979" t="str">
        <f t="shared" si="60"/>
        <v/>
      </c>
      <c r="G1979" t="str">
        <f t="shared" si="61"/>
        <v/>
      </c>
    </row>
    <row r="1980" spans="6:7" x14ac:dyDescent="0.2">
      <c r="F1980" t="str">
        <f t="shared" si="60"/>
        <v/>
      </c>
      <c r="G1980" t="str">
        <f t="shared" si="61"/>
        <v/>
      </c>
    </row>
    <row r="1981" spans="6:7" x14ac:dyDescent="0.2">
      <c r="F1981" t="str">
        <f t="shared" si="60"/>
        <v/>
      </c>
      <c r="G1981" t="str">
        <f t="shared" si="61"/>
        <v/>
      </c>
    </row>
    <row r="1982" spans="6:7" x14ac:dyDescent="0.2">
      <c r="F1982" t="str">
        <f t="shared" si="60"/>
        <v/>
      </c>
      <c r="G1982" t="str">
        <f t="shared" si="61"/>
        <v/>
      </c>
    </row>
    <row r="1983" spans="6:7" x14ac:dyDescent="0.2">
      <c r="F1983" t="str">
        <f t="shared" si="60"/>
        <v/>
      </c>
      <c r="G1983" t="str">
        <f t="shared" si="61"/>
        <v/>
      </c>
    </row>
    <row r="1984" spans="6:7" x14ac:dyDescent="0.2">
      <c r="F1984" t="str">
        <f t="shared" si="60"/>
        <v/>
      </c>
      <c r="G1984" t="str">
        <f t="shared" si="61"/>
        <v/>
      </c>
    </row>
    <row r="1985" spans="6:7" x14ac:dyDescent="0.2">
      <c r="F1985" t="str">
        <f t="shared" si="60"/>
        <v/>
      </c>
      <c r="G1985" t="str">
        <f t="shared" si="61"/>
        <v/>
      </c>
    </row>
    <row r="1986" spans="6:7" x14ac:dyDescent="0.2">
      <c r="F1986" t="str">
        <f t="shared" ref="F1986:F2000" si="62">IF(OR(D1986="",E1986=""),"",E1986-D1986)</f>
        <v/>
      </c>
      <c r="G1986" t="str">
        <f t="shared" ref="G1986:G2000" si="63">IF(F1986="","",IF(F1986&gt;0,"ANO","NE"))</f>
        <v/>
      </c>
    </row>
    <row r="1987" spans="6:7" x14ac:dyDescent="0.2">
      <c r="F1987" t="str">
        <f t="shared" si="62"/>
        <v/>
      </c>
      <c r="G1987" t="str">
        <f t="shared" si="63"/>
        <v/>
      </c>
    </row>
    <row r="1988" spans="6:7" x14ac:dyDescent="0.2">
      <c r="F1988" t="str">
        <f t="shared" si="62"/>
        <v/>
      </c>
      <c r="G1988" t="str">
        <f t="shared" si="63"/>
        <v/>
      </c>
    </row>
    <row r="1989" spans="6:7" x14ac:dyDescent="0.2">
      <c r="F1989" t="str">
        <f t="shared" si="62"/>
        <v/>
      </c>
      <c r="G1989" t="str">
        <f t="shared" si="63"/>
        <v/>
      </c>
    </row>
    <row r="1990" spans="6:7" x14ac:dyDescent="0.2">
      <c r="F1990" t="str">
        <f t="shared" si="62"/>
        <v/>
      </c>
      <c r="G1990" t="str">
        <f t="shared" si="63"/>
        <v/>
      </c>
    </row>
    <row r="1991" spans="6:7" x14ac:dyDescent="0.2">
      <c r="F1991" t="str">
        <f t="shared" si="62"/>
        <v/>
      </c>
      <c r="G1991" t="str">
        <f t="shared" si="63"/>
        <v/>
      </c>
    </row>
    <row r="1992" spans="6:7" x14ac:dyDescent="0.2">
      <c r="F1992" t="str">
        <f t="shared" si="62"/>
        <v/>
      </c>
      <c r="G1992" t="str">
        <f t="shared" si="63"/>
        <v/>
      </c>
    </row>
    <row r="1993" spans="6:7" x14ac:dyDescent="0.2">
      <c r="F1993" t="str">
        <f t="shared" si="62"/>
        <v/>
      </c>
      <c r="G1993" t="str">
        <f t="shared" si="63"/>
        <v/>
      </c>
    </row>
    <row r="1994" spans="6:7" x14ac:dyDescent="0.2">
      <c r="F1994" t="str">
        <f t="shared" si="62"/>
        <v/>
      </c>
      <c r="G1994" t="str">
        <f t="shared" si="63"/>
        <v/>
      </c>
    </row>
    <row r="1995" spans="6:7" x14ac:dyDescent="0.2">
      <c r="F1995" t="str">
        <f t="shared" si="62"/>
        <v/>
      </c>
      <c r="G1995" t="str">
        <f t="shared" si="63"/>
        <v/>
      </c>
    </row>
    <row r="1996" spans="6:7" x14ac:dyDescent="0.2">
      <c r="F1996" t="str">
        <f t="shared" si="62"/>
        <v/>
      </c>
      <c r="G1996" t="str">
        <f t="shared" si="63"/>
        <v/>
      </c>
    </row>
    <row r="1997" spans="6:7" x14ac:dyDescent="0.2">
      <c r="F1997" t="str">
        <f t="shared" si="62"/>
        <v/>
      </c>
      <c r="G1997" t="str">
        <f t="shared" si="63"/>
        <v/>
      </c>
    </row>
    <row r="1998" spans="6:7" x14ac:dyDescent="0.2">
      <c r="F1998" t="str">
        <f t="shared" si="62"/>
        <v/>
      </c>
      <c r="G1998" t="str">
        <f t="shared" si="63"/>
        <v/>
      </c>
    </row>
    <row r="1999" spans="6:7" x14ac:dyDescent="0.2">
      <c r="F1999" t="str">
        <f t="shared" si="62"/>
        <v/>
      </c>
      <c r="G1999" t="str">
        <f t="shared" si="63"/>
        <v/>
      </c>
    </row>
    <row r="2000" spans="6:7" x14ac:dyDescent="0.2">
      <c r="F2000" t="str">
        <f t="shared" si="62"/>
        <v/>
      </c>
      <c r="G2000" t="str">
        <f t="shared" si="63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zoomScale="115" zoomScaleNormal="115" workbookViewId="0">
      <selection activeCell="B2" sqref="B2"/>
    </sheetView>
  </sheetViews>
  <sheetFormatPr baseColWidth="10" defaultColWidth="8.83203125" defaultRowHeight="15" customHeight="1" x14ac:dyDescent="0.2"/>
  <cols>
    <col min="1" max="1" width="28" customWidth="1"/>
    <col min="2" max="2" width="92" customWidth="1"/>
    <col min="3" max="6" width="3" customWidth="1"/>
  </cols>
  <sheetData>
    <row r="1" spans="1:5" ht="27.75" customHeight="1" x14ac:dyDescent="0.2">
      <c r="A1" s="75" t="s">
        <v>0</v>
      </c>
      <c r="B1" s="75"/>
      <c r="C1" s="75"/>
      <c r="D1" s="75"/>
      <c r="E1" s="75"/>
    </row>
    <row r="3" spans="1:5" ht="33.75" customHeight="1" x14ac:dyDescent="0.2">
      <c r="A3" s="3" t="s">
        <v>1</v>
      </c>
      <c r="B3" s="4" t="s">
        <v>2</v>
      </c>
    </row>
    <row r="4" spans="1:5" ht="42" customHeight="1" x14ac:dyDescent="0.2">
      <c r="A4" s="5" t="s">
        <v>3</v>
      </c>
      <c r="B4" s="6" t="s">
        <v>4</v>
      </c>
    </row>
    <row r="5" spans="1:5" ht="33.75" customHeight="1" x14ac:dyDescent="0.2">
      <c r="A5" s="3" t="s">
        <v>5</v>
      </c>
      <c r="B5" s="4" t="s">
        <v>6</v>
      </c>
    </row>
    <row r="6" spans="1:5" ht="33.75" customHeight="1" x14ac:dyDescent="0.2">
      <c r="A6" s="5" t="s">
        <v>7</v>
      </c>
      <c r="B6" s="6" t="s">
        <v>8</v>
      </c>
    </row>
    <row r="7" spans="1:5" ht="33.75" customHeight="1" x14ac:dyDescent="0.2">
      <c r="A7" s="3" t="s">
        <v>9</v>
      </c>
      <c r="B7" s="4" t="s">
        <v>10</v>
      </c>
    </row>
    <row r="8" spans="1:5" ht="30" customHeight="1" x14ac:dyDescent="0.2">
      <c r="A8" s="7" t="s">
        <v>11</v>
      </c>
      <c r="B8" s="8" t="s">
        <v>12</v>
      </c>
    </row>
    <row r="9" spans="1:5" ht="15.75" customHeight="1" x14ac:dyDescent="0.2">
      <c r="A9" s="7" t="s">
        <v>13</v>
      </c>
      <c r="B9" s="8" t="s">
        <v>14</v>
      </c>
    </row>
    <row r="11" spans="1:5" x14ac:dyDescent="0.2">
      <c r="A11" s="9" t="s">
        <v>15</v>
      </c>
      <c r="B11" s="10" t="str">
        <f>HYPERLINK("#Scoring!A1","→ Scoring (dealy)")</f>
        <v>→ Scoring (dealy)</v>
      </c>
    </row>
    <row r="12" spans="1:5" x14ac:dyDescent="0.2">
      <c r="B12" s="10" t="str">
        <f>HYPERLINK("#Ciselniky!A1","→ Ciselniky (anchor, dodavatel, stav)")</f>
        <v>→ Ciselniky (anchor, dodavatel, stav)</v>
      </c>
    </row>
    <row r="13" spans="1:5" x14ac:dyDescent="0.2">
      <c r="B13" s="10" t="str">
        <f>HYPERLINK("#Historie!A1","→ Historie (transakce)")</f>
        <v>→ Historie (transakce)</v>
      </c>
    </row>
    <row r="14" spans="1:5" x14ac:dyDescent="0.2">
      <c r="B14" s="10" t="str">
        <f>HYPERLINK("#Parametry!A1","→ Parametry")</f>
        <v>→ Parametry</v>
      </c>
    </row>
    <row r="15" spans="1:5" ht="15.75" customHeight="1" x14ac:dyDescent="0.2">
      <c r="A15" s="9"/>
      <c r="B15" s="11" t="str">
        <f>HYPERLINK("#Přehled!A1","→ Přehled")</f>
        <v>→ Přehled</v>
      </c>
    </row>
    <row r="16" spans="1:5" x14ac:dyDescent="0.2">
      <c r="B16" s="10" t="str">
        <f>HYPERLINK("#Schvaleni!A1","→ Schvaleni (rychlý přehled výsledků)")</f>
        <v>→ Schvaleni (rychlý přehled výsledků)</v>
      </c>
    </row>
    <row r="17" spans="1:2" ht="15.75" customHeight="1" x14ac:dyDescent="0.2">
      <c r="A17" s="9" t="s">
        <v>16</v>
      </c>
      <c r="B17" s="8" t="s">
        <v>17</v>
      </c>
    </row>
    <row r="19" spans="1:2" ht="15.75" customHeight="1" x14ac:dyDescent="0.2">
      <c r="A19" s="9" t="s">
        <v>18</v>
      </c>
      <c r="B19" s="8" t="s">
        <v>19</v>
      </c>
    </row>
    <row r="21" spans="1:2" ht="63.75" customHeight="1" x14ac:dyDescent="0.2">
      <c r="A21" s="9" t="s">
        <v>20</v>
      </c>
      <c r="B21" s="8" t="s">
        <v>21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7</vt:i4>
      </vt:variant>
      <vt:variant>
        <vt:lpstr>Pojmenované oblasti</vt:lpstr>
      </vt:variant>
      <vt:variant>
        <vt:i4>5</vt:i4>
      </vt:variant>
    </vt:vector>
  </HeadingPairs>
  <TitlesOfParts>
    <vt:vector size="12" baseType="lpstr">
      <vt:lpstr>Přehled</vt:lpstr>
      <vt:lpstr>Schvaleni</vt:lpstr>
      <vt:lpstr>Scoring</vt:lpstr>
      <vt:lpstr>Parametry</vt:lpstr>
      <vt:lpstr>Ciselniky</vt:lpstr>
      <vt:lpstr>Historie</vt:lpstr>
      <vt:lpstr>Návod</vt:lpstr>
      <vt:lpstr>ciselnik_anchor</vt:lpstr>
      <vt:lpstr>ciselnik_dodavatel</vt:lpstr>
      <vt:lpstr>ciselnik_stav</vt:lpstr>
      <vt:lpstr>portfolio_stage</vt:lpstr>
      <vt:lpstr>portfolio_total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Jiri Tillman</cp:lastModifiedBy>
  <dcterms:modified xsi:type="dcterms:W3CDTF">2026-04-08T07:50:04Z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2026-04-02T12:58:29Z</dcterms:created>
  <dc:creator>JirkaT</dc:creator>
  <dc:description/>
  <dc:language>en-US</dc:language>
  <cp:lastModifiedBy>Tillman Jiří</cp:lastModifiedBy>
  <dcterms:modified xsi:type="dcterms:W3CDTF">2026-04-07T08:37:41Z</dcterms:modified>
  <cp:revision>0</cp:revision>
  <dc:subject/>
  <dc:title/>
</cp:coreProperties>
</file>